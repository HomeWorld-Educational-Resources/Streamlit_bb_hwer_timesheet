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Time sheet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Control Panel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Client Timeshee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mmm&quot; &quot;d"/>
    <numFmt numFmtId="165" formatCode="&quot;$&quot;#,##0"/>
    <numFmt numFmtId="166" formatCode="&quot;$&quot;#,##0_);[Red]\(&quot;$&quot;#,##0\)"/>
    <numFmt numFmtId="167" formatCode="\$#,##0.00"/>
    <numFmt numFmtId="168" formatCode="mmm\ d"/>
    <numFmt numFmtId="169" formatCode="mmm\-d\-yyyy"/>
    <numFmt numFmtId="170" formatCode="&quot;Apr &quot;d"/>
    <numFmt numFmtId="171" formatCode="&quot;$&quot;#,##0.00"/>
  </numFmts>
  <fonts count="44">
    <font>
      <name val="Arial"/>
      <color rgb="FF000000"/>
      <sz val="10"/>
    </font>
    <font>
      <name val="Roboto"/>
      <sz val="10"/>
    </font>
    <font>
      <name val="Roboto"/>
      <color rgb="FF6D64E8"/>
      <sz val="10"/>
    </font>
    <font>
      <name val="Lexend"/>
      <color rgb="FF000000"/>
      <sz val="20"/>
    </font>
    <font>
      <name val="Roboto"/>
      <color rgb="FF666666"/>
      <sz val="10"/>
    </font>
    <font>
      <name val="Roboto"/>
      <b val="1"/>
      <color rgb="FF283592"/>
      <sz val="34"/>
    </font>
    <font>
      <name val="Roboto"/>
      <color rgb="FF434343"/>
      <sz val="13"/>
    </font>
    <font>
      <name val="Roboto"/>
      <b val="1"/>
      <color rgb="FF434343"/>
      <sz val="12"/>
    </font>
    <font>
      <name val="Roboto"/>
      <color rgb="FF000000"/>
      <sz val="10"/>
    </font>
    <font>
      <name val="Roboto"/>
      <color rgb="FFB7B7B7"/>
      <sz val="10"/>
    </font>
    <font>
      <name val="Roboto"/>
      <color rgb="FF2A3990"/>
      <sz val="10"/>
    </font>
    <font>
      <name val="Roboto"/>
      <color rgb="FF2A3990"/>
      <sz val="14"/>
    </font>
    <font>
      <name val="Roboto"/>
      <b val="1"/>
      <color rgb="FF2A3990"/>
      <sz val="12"/>
    </font>
    <font>
      <name val="Roboto"/>
      <b val="1"/>
      <color rgb="FF666666"/>
      <sz val="10"/>
    </font>
    <font>
      <name val="Roboto"/>
      <color rgb="FF980000"/>
      <sz val="10"/>
    </font>
    <font>
      <name val="Roboto"/>
      <b val="1"/>
      <color rgb="FF2A3990"/>
      <sz val="10"/>
    </font>
    <font>
      <name val="Roboto"/>
      <color rgb="FFEB3F79"/>
      <sz val="16"/>
    </font>
    <font>
      <name val="Roboto"/>
      <b val="1"/>
      <color rgb="FFE01B84"/>
      <sz val="20"/>
    </font>
    <font>
      <name val="Roboto"/>
      <b val="1"/>
      <sz val="10"/>
    </font>
    <font>
      <name val="Comfortaa"/>
      <sz val="10"/>
    </font>
    <font>
      <name val="Roboto"/>
      <b val="1"/>
      <color rgb="FF283592"/>
      <sz val="26"/>
    </font>
    <font>
      <name val="Roboto"/>
      <i val="1"/>
      <color rgb="FF999999"/>
      <sz val="10"/>
    </font>
    <font>
      <name val="Roboto"/>
      <color rgb="FF283592"/>
      <sz val="34"/>
    </font>
    <font>
      <name val="Roboto"/>
      <color rgb="FF283592"/>
      <sz val="14"/>
    </font>
    <font>
      <name val="Roboto"/>
      <color rgb="FF434343"/>
      <sz val="10"/>
    </font>
    <font>
      <name val="Roboto"/>
      <b val="1"/>
      <color rgb="FF434343"/>
      <sz val="10"/>
    </font>
    <font>
      <name val="Roboto"/>
      <color rgb="FFFF0000"/>
      <sz val="10"/>
    </font>
    <font>
      <name val="Arial"/>
      <color theme="10"/>
      <sz val="10"/>
    </font>
    <font>
      <name val="Roboto"/>
      <color rgb="FFEB3F79"/>
      <sz val="9"/>
    </font>
    <font>
      <name val="Arial"/>
      <b val="1"/>
      <color rgb="FFFFFFFF"/>
      <sz val="10"/>
    </font>
    <font>
      <name val="Arial"/>
      <b val="1"/>
      <color rgb="FFFFFFFF"/>
      <sz val="16"/>
    </font>
    <font>
      <name val="Arial"/>
      <b val="1"/>
      <color rgb="FF2F3E9E"/>
      <sz val="10"/>
    </font>
    <font>
      <name val="Arial"/>
      <b val="1"/>
      <color rgb="FF444444"/>
      <sz val="10"/>
    </font>
    <font>
      <name val="Roboto"/>
      <b val="1"/>
      <color rgb="FF2F3E9E"/>
      <sz val="10"/>
    </font>
    <font>
      <name val="Arial"/>
      <color rgb="FF000000"/>
      <sz val="18"/>
    </font>
    <font>
      <name val="Arial"/>
      <b val="1"/>
      <color rgb="FF2F3E9E"/>
      <sz val="30"/>
    </font>
    <font>
      <name val="Arial"/>
      <b val="1"/>
      <color rgb="FF444444"/>
      <sz val="12"/>
    </font>
    <font>
      <name val="Arial"/>
      <color rgb="FF000000"/>
      <sz val="11"/>
    </font>
    <font>
      <name val="Arial"/>
      <color rgb="FF666666"/>
      <sz val="10"/>
    </font>
    <font>
      <name val="Arial"/>
      <b val="1"/>
      <color rgb="FF666666"/>
      <sz val="10"/>
    </font>
    <font>
      <name val="Arial"/>
      <color rgb="FFFF4F86"/>
      <sz val="10"/>
    </font>
    <font>
      <name val="Arial"/>
      <b val="1"/>
      <color rgb="FFE31C86"/>
      <sz val="20"/>
    </font>
    <font>
      <name val="Arial"/>
      <color rgb="FFB22020"/>
      <sz val="10"/>
    </font>
    <font>
      <name val="Arial"/>
      <b val="1"/>
      <color rgb="FF000000"/>
      <sz val="10"/>
    </font>
  </fonts>
  <fills count="12">
    <fill>
      <patternFill/>
    </fill>
    <fill>
      <patternFill patternType="gray125"/>
    </fill>
    <fill>
      <patternFill patternType="solid">
        <fgColor rgb="FF283592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2F3E9E"/>
      </patternFill>
    </fill>
    <fill>
      <patternFill patternType="solid">
        <fgColor rgb="FFDDE6F8"/>
      </patternFill>
    </fill>
    <fill>
      <patternFill patternType="solid">
        <fgColor rgb="FFFFF7D6"/>
      </patternFill>
    </fill>
    <fill>
      <patternFill patternType="solid">
        <fgColor rgb="FFF3F5FB"/>
      </patternFill>
    </fill>
    <fill>
      <patternFill patternType="solid">
        <fgColor rgb="FFFFFFFF"/>
      </patternFill>
    </fill>
    <fill>
      <patternFill patternType="solid">
        <fgColor rgb="FFD9E5EA"/>
      </patternFill>
    </fill>
    <fill>
      <patternFill patternType="solid">
        <fgColor rgb="FFF7F7F7"/>
      </patternFill>
    </fill>
  </fills>
  <borders count="39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CCCCCC"/>
      </bottom>
      <diagonal/>
    </border>
    <border>
      <left/>
      <right/>
      <top style="thin">
        <color rgb="FFFFFFFF"/>
      </top>
      <bottom style="thin">
        <color rgb="FFCCCCCC"/>
      </bottom>
      <diagonal/>
    </border>
    <border>
      <left/>
      <right style="thin">
        <color rgb="FFFFFFFF"/>
      </right>
      <top style="thin">
        <color rgb="FFFFFFFF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2">
    <xf numFmtId="0" fontId="0" fillId="0" borderId="36"/>
    <xf numFmtId="0" fontId="27" fillId="0" borderId="36"/>
  </cellStyleXfs>
  <cellXfs count="214">
    <xf numFmtId="0" fontId="0" fillId="0" borderId="0" pivotButton="0" quotePrefix="0" xfId="0"/>
    <xf numFmtId="0" fontId="1" fillId="2" borderId="0" pivotButton="0" quotePrefix="0" xfId="0"/>
    <xf numFmtId="14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0" fontId="4" fillId="0" borderId="1" pivotButton="0" quotePrefix="0" xfId="0"/>
    <xf numFmtId="0" fontId="9" fillId="0" borderId="0" pivotButton="0" quotePrefix="0" xfId="0"/>
    <xf numFmtId="164" fontId="10" fillId="0" borderId="0" applyAlignment="1" pivotButton="0" quotePrefix="0" xfId="0">
      <alignment horizontal="right" vertical="top"/>
    </xf>
    <xf numFmtId="164" fontId="11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5" fillId="0" borderId="2" pivotButton="0" quotePrefix="0" xfId="0"/>
    <xf numFmtId="2" fontId="15" fillId="0" borderId="2" applyAlignment="1" pivotButton="0" quotePrefix="0" xfId="0">
      <alignment horizontal="right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/>
    </xf>
    <xf numFmtId="0" fontId="18" fillId="0" borderId="0" pivotButton="0" quotePrefix="0" xfId="0"/>
    <xf numFmtId="0" fontId="22" fillId="0" borderId="3" pivotButton="0" quotePrefix="0" xfId="0"/>
    <xf numFmtId="0" fontId="23" fillId="0" borderId="3" applyAlignment="1" pivotButton="0" quotePrefix="0" xfId="0">
      <alignment vertical="center"/>
    </xf>
    <xf numFmtId="0" fontId="23" fillId="0" borderId="7" applyAlignment="1" pivotButton="0" quotePrefix="0" xfId="0">
      <alignment vertical="center"/>
    </xf>
    <xf numFmtId="0" fontId="23" fillId="0" borderId="8" applyAlignment="1" pivotButton="0" quotePrefix="0" xfId="0">
      <alignment vertical="center"/>
    </xf>
    <xf numFmtId="0" fontId="23" fillId="0" borderId="9" applyAlignment="1" pivotButton="0" quotePrefix="0" xfId="0">
      <alignment vertical="center"/>
    </xf>
    <xf numFmtId="0" fontId="24" fillId="0" borderId="3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5" fillId="0" borderId="10" applyAlignment="1" pivotButton="0" quotePrefix="0" xfId="0">
      <alignment vertical="center"/>
    </xf>
    <xf numFmtId="0" fontId="24" fillId="0" borderId="3" pivotButton="0" quotePrefix="0" xfId="0"/>
    <xf numFmtId="0" fontId="25" fillId="0" borderId="3" applyAlignment="1" pivotButton="0" quotePrefix="0" xfId="0">
      <alignment horizontal="left" vertical="center"/>
    </xf>
    <xf numFmtId="0" fontId="24" fillId="0" borderId="0" pivotButton="0" quotePrefix="0" xfId="0"/>
    <xf numFmtId="2" fontId="24" fillId="0" borderId="3" applyAlignment="1" pivotButton="0" quotePrefix="0" xfId="0">
      <alignment horizontal="left" vertical="center"/>
    </xf>
    <xf numFmtId="0" fontId="24" fillId="0" borderId="3" applyAlignment="1" pivotButton="0" quotePrefix="0" xfId="0">
      <alignment horizontal="left"/>
    </xf>
    <xf numFmtId="0" fontId="25" fillId="0" borderId="3" pivotButton="0" quotePrefix="0" xfId="0"/>
    <xf numFmtId="0" fontId="24" fillId="0" borderId="3" applyAlignment="1" pivotButton="0" quotePrefix="0" xfId="0">
      <alignment horizontal="left" vertical="center"/>
    </xf>
    <xf numFmtId="0" fontId="25" fillId="0" borderId="0" pivotButton="0" quotePrefix="0" xfId="0"/>
    <xf numFmtId="14" fontId="24" fillId="0" borderId="3" pivotButton="0" quotePrefix="0" xfId="0"/>
    <xf numFmtId="165" fontId="24" fillId="0" borderId="3" pivotButton="0" quotePrefix="0" xfId="0"/>
    <xf numFmtId="0" fontId="24" fillId="0" borderId="10" pivotButton="0" quotePrefix="0" xfId="0"/>
    <xf numFmtId="0" fontId="24" fillId="0" borderId="10" applyAlignment="1" pivotButton="0" quotePrefix="0" xfId="0">
      <alignment horizontal="left" vertical="center"/>
    </xf>
    <xf numFmtId="0" fontId="25" fillId="0" borderId="10" applyAlignment="1" pivotButton="0" quotePrefix="0" xfId="0">
      <alignment horizontal="left"/>
    </xf>
    <xf numFmtId="0" fontId="24" fillId="0" borderId="10" applyAlignment="1" pivotButton="0" quotePrefix="0" xfId="0">
      <alignment horizontal="left"/>
    </xf>
    <xf numFmtId="0" fontId="25" fillId="0" borderId="3" applyAlignment="1" pivotButton="0" quotePrefix="0" xfId="0">
      <alignment horizontal="left"/>
    </xf>
    <xf numFmtId="2" fontId="24" fillId="0" borderId="3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2" fontId="2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 vertical="center"/>
    </xf>
    <xf numFmtId="2" fontId="13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0" fontId="10" fillId="0" borderId="0" pivotButton="0" quotePrefix="0" xfId="0"/>
    <xf numFmtId="2" fontId="10" fillId="0" borderId="2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 wrapText="1"/>
    </xf>
    <xf numFmtId="0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166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29" fillId="5" borderId="0" applyAlignment="1" pivotButton="0" quotePrefix="0" xfId="0">
      <alignment horizontal="center" wrapText="1"/>
    </xf>
    <xf numFmtId="0" fontId="31" fillId="6" borderId="0" pivotButton="0" quotePrefix="0" xfId="0"/>
    <xf numFmtId="0" fontId="31" fillId="8" borderId="0" pivotButton="0" quotePrefix="0" xfId="0"/>
    <xf numFmtId="167" fontId="31" fillId="8" borderId="0" pivotButton="0" quotePrefix="0" xfId="0"/>
    <xf numFmtId="0" fontId="32" fillId="0" borderId="0" applyAlignment="1" pivotButton="0" quotePrefix="0" xfId="0">
      <alignment wrapText="1"/>
    </xf>
    <xf numFmtId="0" fontId="0" fillId="7" borderId="11" applyAlignment="1" pivotButton="0" quotePrefix="0" xfId="0">
      <alignment wrapText="1"/>
    </xf>
    <xf numFmtId="0" fontId="31" fillId="8" borderId="0" applyAlignment="1" pivotButton="0" quotePrefix="0" xfId="0">
      <alignment wrapText="1"/>
    </xf>
    <xf numFmtId="167" fontId="31" fillId="8" borderId="0" applyAlignment="1" pivotButton="0" quotePrefix="0" xfId="0">
      <alignment wrapText="1"/>
    </xf>
    <xf numFmtId="14" fontId="0" fillId="7" borderId="11" applyAlignment="1" pivotButton="0" quotePrefix="0" xfId="0">
      <alignment wrapText="1"/>
    </xf>
    <xf numFmtId="167" fontId="0" fillId="7" borderId="11" applyAlignment="1" pivotButton="0" quotePrefix="0" xfId="0">
      <alignment wrapText="1"/>
    </xf>
    <xf numFmtId="0" fontId="31" fillId="6" borderId="12" pivotButton="0" quotePrefix="0" xfId="0"/>
    <xf numFmtId="0" fontId="31" fillId="6" borderId="13" pivotButton="0" quotePrefix="0" xfId="0"/>
    <xf numFmtId="0" fontId="31" fillId="6" borderId="14" pivotButton="0" quotePrefix="0" xfId="0"/>
    <xf numFmtId="2" fontId="0" fillId="0" borderId="15" applyAlignment="1" pivotButton="0" quotePrefix="0" xfId="0">
      <alignment wrapText="1"/>
    </xf>
    <xf numFmtId="2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2" fontId="0" fillId="0" borderId="18" applyAlignment="1" pivotButton="0" quotePrefix="0" xfId="0">
      <alignment wrapText="1"/>
    </xf>
    <xf numFmtId="2" fontId="0" fillId="0" borderId="19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167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167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168" fontId="12" fillId="0" borderId="0" applyAlignment="1" pivotButton="0" quotePrefix="0" xfId="0">
      <alignment horizontal="right" vertical="top"/>
    </xf>
    <xf numFmtId="167" fontId="1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33" fillId="6" borderId="21" applyAlignment="1" pivotButton="0" quotePrefix="0" xfId="0">
      <alignment horizontal="left" vertical="center" wrapText="1"/>
    </xf>
    <xf numFmtId="0" fontId="13" fillId="4" borderId="24" applyAlignment="1" pivotButton="0" quotePrefix="0" xfId="0">
      <alignment horizontal="left" vertical="center" wrapText="1"/>
    </xf>
    <xf numFmtId="0" fontId="8" fillId="3" borderId="24" applyAlignment="1" pivotButton="0" quotePrefix="0" xfId="0">
      <alignment horizontal="right" vertical="center" wrapText="1"/>
    </xf>
    <xf numFmtId="0" fontId="1" fillId="0" borderId="24" applyAlignment="1" pivotButton="0" quotePrefix="0" xfId="0">
      <alignment wrapText="1"/>
    </xf>
    <xf numFmtId="0" fontId="1" fillId="0" borderId="25" applyAlignment="1" pivotButton="0" quotePrefix="0" xfId="0">
      <alignment vertical="center" wrapText="1"/>
    </xf>
    <xf numFmtId="0" fontId="1" fillId="0" borderId="26" applyAlignment="1" pivotButton="0" quotePrefix="0" xfId="0">
      <alignment vertical="center" wrapText="1"/>
    </xf>
    <xf numFmtId="0" fontId="18" fillId="0" borderId="24" applyAlignment="1" pivotButton="0" quotePrefix="0" xfId="0">
      <alignment vertical="center" wrapText="1"/>
    </xf>
    <xf numFmtId="166" fontId="1" fillId="0" borderId="25" applyAlignment="1" pivotButton="0" quotePrefix="0" xfId="0">
      <alignment horizontal="center" vertical="center" wrapText="1"/>
    </xf>
    <xf numFmtId="0" fontId="27" fillId="0" borderId="25" applyAlignment="1" pivotButton="0" quotePrefix="0" xfId="0">
      <alignment vertical="center" wrapText="1"/>
    </xf>
    <xf numFmtId="0" fontId="18" fillId="0" borderId="27" applyAlignment="1" pivotButton="0" quotePrefix="0" xfId="0">
      <alignment vertical="center" wrapText="1"/>
    </xf>
    <xf numFmtId="166" fontId="1" fillId="0" borderId="28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 wrapText="1"/>
    </xf>
    <xf numFmtId="0" fontId="27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8" fillId="0" borderId="21" applyAlignment="1" pivotButton="0" quotePrefix="0" xfId="0">
      <alignment vertical="center" wrapText="1"/>
    </xf>
    <xf numFmtId="166" fontId="33" fillId="6" borderId="22" applyAlignment="1" pivotButton="0" quotePrefix="0" xfId="0">
      <alignment horizontal="center" vertical="center"/>
    </xf>
    <xf numFmtId="0" fontId="33" fillId="6" borderId="22" applyAlignment="1" pivotButton="0" quotePrefix="0" xfId="0">
      <alignment vertical="center" wrapText="1"/>
    </xf>
    <xf numFmtId="0" fontId="31" fillId="6" borderId="23" applyAlignment="1" pivotButton="0" quotePrefix="0" xfId="0">
      <alignment vertical="center"/>
    </xf>
    <xf numFmtId="0" fontId="18" fillId="0" borderId="24" applyAlignment="1" pivotButton="0" quotePrefix="0" xfId="0">
      <alignment wrapText="1"/>
    </xf>
    <xf numFmtId="167" fontId="1" fillId="0" borderId="25" applyAlignment="1" pivotButton="0" quotePrefix="0" xfId="0">
      <alignment vertical="center"/>
    </xf>
    <xf numFmtId="169" fontId="1" fillId="0" borderId="25" applyAlignment="1" pivotButton="0" quotePrefix="0" xfId="0">
      <alignment vertical="center" wrapText="1"/>
    </xf>
    <xf numFmtId="0" fontId="27" fillId="0" borderId="26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7" fontId="0" fillId="0" borderId="25" pivotButton="0" quotePrefix="0" xfId="0"/>
    <xf numFmtId="0" fontId="19" fillId="0" borderId="24" pivotButton="0" quotePrefix="0" xfId="0"/>
    <xf numFmtId="169" fontId="1" fillId="0" borderId="25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1" fillId="0" borderId="24" pivotButton="0" quotePrefix="0" xfId="0"/>
    <xf numFmtId="0" fontId="0" fillId="0" borderId="27" pivotButton="0" quotePrefix="0" xfId="0"/>
    <xf numFmtId="167" fontId="0" fillId="0" borderId="28" pivotButton="0" quotePrefix="0" xfId="0"/>
    <xf numFmtId="169" fontId="0" fillId="0" borderId="28" pivotButton="0" quotePrefix="0" xfId="0"/>
    <xf numFmtId="0" fontId="0" fillId="0" borderId="29" pivotButton="0" quotePrefix="0" xfId="0"/>
    <xf numFmtId="2" fontId="0" fillId="0" borderId="0" pivotButton="0" quotePrefix="0" xfId="0"/>
    <xf numFmtId="0" fontId="36" fillId="0" borderId="0" pivotButton="0" quotePrefix="0" xfId="0"/>
    <xf numFmtId="0" fontId="0" fillId="0" borderId="3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center"/>
    </xf>
    <xf numFmtId="170" fontId="31" fillId="0" borderId="0" applyAlignment="1" pivotButton="0" quotePrefix="0" xfId="0">
      <alignment horizontal="center"/>
    </xf>
    <xf numFmtId="0" fontId="0" fillId="9" borderId="31" applyAlignment="1" pivotButton="0" quotePrefix="0" xfId="0">
      <alignment wrapText="1"/>
    </xf>
    <xf numFmtId="0" fontId="0" fillId="10" borderId="31" applyAlignment="1" pivotButton="0" quotePrefix="0" xfId="0">
      <alignment wrapText="1"/>
    </xf>
    <xf numFmtId="2" fontId="0" fillId="9" borderId="32" applyAlignment="1" pivotButton="0" quotePrefix="0" xfId="0">
      <alignment horizontal="center" wrapText="1"/>
    </xf>
    <xf numFmtId="2" fontId="0" fillId="9" borderId="33" applyAlignment="1" pivotButton="0" quotePrefix="0" xfId="0">
      <alignment horizontal="center" wrapText="1"/>
    </xf>
    <xf numFmtId="2" fontId="0" fillId="10" borderId="32" applyAlignment="1" pivotButton="0" quotePrefix="0" xfId="0">
      <alignment horizontal="center" wrapText="1"/>
    </xf>
    <xf numFmtId="2" fontId="0" fillId="10" borderId="33" applyAlignment="1" pivotButton="0" quotePrefix="0" xfId="0">
      <alignment horizontal="center" wrapText="1"/>
    </xf>
    <xf numFmtId="2" fontId="31" fillId="0" borderId="0" applyAlignment="1" pivotButton="0" quotePrefix="0" xfId="0">
      <alignment horizontal="center"/>
    </xf>
    <xf numFmtId="167" fontId="39" fillId="0" borderId="0" applyAlignment="1" pivotButton="0" quotePrefix="0" xfId="0">
      <alignment horizontal="right"/>
    </xf>
    <xf numFmtId="167" fontId="41" fillId="0" borderId="0" applyAlignment="1" pivotButton="0" quotePrefix="0" xfId="0">
      <alignment horizontal="right"/>
    </xf>
    <xf numFmtId="0" fontId="43" fillId="0" borderId="0" pivotButton="0" quotePrefix="0" xfId="0"/>
    <xf numFmtId="0" fontId="0" fillId="11" borderId="34" applyAlignment="1" pivotButton="0" quotePrefix="0" xfId="0">
      <alignment wrapText="1"/>
    </xf>
    <xf numFmtId="0" fontId="0" fillId="9" borderId="34" applyAlignment="1" pivotButton="0" quotePrefix="0" xfId="0">
      <alignment wrapText="1"/>
    </xf>
    <xf numFmtId="0" fontId="0" fillId="0" borderId="34" pivotButton="0" quotePrefix="0" xfId="0"/>
    <xf numFmtId="0" fontId="0" fillId="0" borderId="36" pivotButton="0" quotePrefix="0" xfId="0"/>
    <xf numFmtId="167" fontId="0" fillId="0" borderId="35" pivotButton="0" quotePrefix="0" xfId="0"/>
    <xf numFmtId="169" fontId="0" fillId="0" borderId="35" pivotButton="0" quotePrefix="0" xfId="0"/>
    <xf numFmtId="0" fontId="31" fillId="6" borderId="12" applyAlignment="1" pivotButton="0" quotePrefix="0" xfId="0">
      <alignment wrapText="1"/>
    </xf>
    <xf numFmtId="0" fontId="31" fillId="6" borderId="13" applyAlignment="1" pivotButton="0" quotePrefix="0" xfId="0">
      <alignment wrapText="1"/>
    </xf>
    <xf numFmtId="0" fontId="31" fillId="6" borderId="14" applyAlignment="1" pivotButton="0" quotePrefix="0" xfId="0">
      <alignment wrapText="1"/>
    </xf>
    <xf numFmtId="2" fontId="4" fillId="3" borderId="25" applyAlignment="1" pivotButton="0" quotePrefix="0" xfId="0">
      <alignment horizontal="center" vertical="center" wrapText="1"/>
    </xf>
    <xf numFmtId="0" fontId="0" fillId="0" borderId="0" pivotButton="0" quotePrefix="0" xfId="0"/>
    <xf numFmtId="171" fontId="17" fillId="0" borderId="0" applyAlignment="1" pivotButton="0" quotePrefix="0" xfId="0">
      <alignment vertical="center"/>
    </xf>
    <xf numFmtId="2" fontId="33" fillId="6" borderId="2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right"/>
    </xf>
    <xf numFmtId="2" fontId="4" fillId="4" borderId="25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5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20" fillId="0" borderId="4" pivotButton="0" quotePrefix="0" xfId="0"/>
    <xf numFmtId="0" fontId="0" fillId="0" borderId="5" pivotButton="0" quotePrefix="0" xfId="0"/>
    <xf numFmtId="0" fontId="21" fillId="0" borderId="3" applyAlignment="1" pivotButton="0" quotePrefix="0" xfId="0">
      <alignment horizontal="right" vertical="center" wrapText="1"/>
    </xf>
    <xf numFmtId="0" fontId="0" fillId="0" borderId="6" pivotButton="0" quotePrefix="0" xfId="0"/>
    <xf numFmtId="0" fontId="31" fillId="8" borderId="0" applyAlignment="1" pivotButton="0" quotePrefix="0" xfId="0">
      <alignment horizontal="left" wrapText="1"/>
    </xf>
    <xf numFmtId="0" fontId="31" fillId="6" borderId="0" applyAlignment="1" pivotButton="0" quotePrefix="0" xfId="0">
      <alignment wrapText="1"/>
    </xf>
    <xf numFmtId="167" fontId="31" fillId="8" borderId="0" applyAlignment="1" pivotButton="0" quotePrefix="0" xfId="0">
      <alignment horizontal="left" wrapText="1"/>
    </xf>
    <xf numFmtId="0" fontId="31" fillId="6" borderId="0" pivotButton="0" quotePrefix="0" xfId="0"/>
    <xf numFmtId="0" fontId="3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9" borderId="36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11" borderId="36" applyAlignment="1" pivotButton="0" quotePrefix="0" xfId="0">
      <alignment wrapText="1"/>
    </xf>
    <xf numFmtId="0" fontId="40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/>
    </xf>
    <xf numFmtId="0" fontId="3" fillId="0" borderId="36" applyAlignment="1" pivotButton="0" quotePrefix="0" xfId="0">
      <alignment horizontal="center"/>
    </xf>
    <xf numFmtId="0" fontId="5" fillId="0" borderId="36" pivotButton="0" quotePrefix="0" xfId="0"/>
    <xf numFmtId="0" fontId="7" fillId="0" borderId="36" applyAlignment="1" pivotButton="0" quotePrefix="0" xfId="0">
      <alignment vertical="center"/>
    </xf>
    <xf numFmtId="0" fontId="8" fillId="0" borderId="36" applyAlignment="1" pivotButton="0" quotePrefix="0" xfId="0">
      <alignment horizontal="left" vertical="center"/>
    </xf>
    <xf numFmtId="2" fontId="4" fillId="0" borderId="36" applyAlignment="1" pivotButton="0" quotePrefix="0" xfId="0">
      <alignment horizontal="right"/>
    </xf>
    <xf numFmtId="171" fontId="17" fillId="0" borderId="36" applyAlignment="1" pivotButton="0" quotePrefix="0" xfId="0">
      <alignment vertical="center"/>
    </xf>
    <xf numFmtId="0" fontId="14" fillId="0" borderId="36" applyAlignment="1" pivotButton="0" quotePrefix="0" xfId="0">
      <alignment horizontal="center" vertical="center" wrapText="1"/>
    </xf>
    <xf numFmtId="2" fontId="33" fillId="6" borderId="36" applyAlignment="1" pivotButton="0" quotePrefix="0" xfId="0">
      <alignment horizontal="center" vertical="center" wrapText="1"/>
    </xf>
    <xf numFmtId="2" fontId="4" fillId="4" borderId="36" applyAlignment="1" pivotButton="0" quotePrefix="0" xfId="0">
      <alignment horizontal="left" vertical="center" wrapText="1"/>
    </xf>
    <xf numFmtId="2" fontId="4" fillId="3" borderId="36" applyAlignment="1" pivotButton="0" quotePrefix="0" xfId="0">
      <alignment horizontal="center" vertical="center" wrapText="1"/>
    </xf>
    <xf numFmtId="166" fontId="1" fillId="0" borderId="25" applyAlignment="1" pivotButton="0" quotePrefix="0" xfId="0">
      <alignment horizontal="center" vertical="center" wrapText="1"/>
    </xf>
    <xf numFmtId="166" fontId="1" fillId="0" borderId="28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166" fontId="33" fillId="6" borderId="22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0" fontId="30" fillId="5" borderId="36" applyAlignment="1" pivotButton="0" quotePrefix="0" xfId="0">
      <alignment horizontal="center" vertical="center"/>
    </xf>
    <xf numFmtId="0" fontId="31" fillId="6" borderId="36" pivotButton="0" quotePrefix="0" xfId="0"/>
    <xf numFmtId="0" fontId="31" fillId="8" borderId="36" applyAlignment="1" pivotButton="0" quotePrefix="0" xfId="0">
      <alignment horizontal="left" wrapText="1"/>
    </xf>
    <xf numFmtId="167" fontId="31" fillId="8" borderId="36" applyAlignment="1" pivotButton="0" quotePrefix="0" xfId="0">
      <alignment horizontal="left" wrapText="1"/>
    </xf>
    <xf numFmtId="0" fontId="31" fillId="6" borderId="36" applyAlignment="1" pivotButton="0" quotePrefix="0" xfId="0">
      <alignment wrapText="1"/>
    </xf>
    <xf numFmtId="0" fontId="0" fillId="5" borderId="36" pivotButton="0" quotePrefix="0" xfId="0"/>
    <xf numFmtId="0" fontId="34" fillId="0" borderId="36" applyAlignment="1" pivotButton="0" quotePrefix="0" xfId="0">
      <alignment horizontal="center" vertical="center"/>
    </xf>
    <xf numFmtId="0" fontId="35" fillId="0" borderId="36" applyAlignment="1" pivotButton="0" quotePrefix="0" xfId="0">
      <alignment horizontal="center" vertical="center"/>
    </xf>
    <xf numFmtId="0" fontId="37" fillId="0" borderId="36" applyAlignment="1" pivotButton="0" quotePrefix="0" xfId="0">
      <alignment horizontal="center"/>
    </xf>
    <xf numFmtId="0" fontId="38" fillId="0" borderId="36" applyAlignment="1" pivotButton="0" quotePrefix="0" xfId="0">
      <alignment horizontal="center"/>
    </xf>
    <xf numFmtId="0" fontId="40" fillId="0" borderId="36" applyAlignment="1" pivotButton="0" quotePrefix="0" xfId="0">
      <alignment horizontal="center"/>
    </xf>
    <xf numFmtId="0" fontId="42" fillId="0" borderId="36" applyAlignment="1" pivotButton="0" quotePrefix="0" xfId="0">
      <alignment horizontal="center"/>
    </xf>
    <xf numFmtId="0" fontId="0" fillId="0" borderId="36" applyAlignment="1" pivotButton="0" quotePrefix="0" xfId="0">
      <alignment wrapText="1"/>
    </xf>
  </cellXfs>
  <cellStyles count="2">
    <cellStyle name="Normal" xfId="0" builtinId="0"/>
    <cellStyle name="Hyperlink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ayout/>
      <barChart>
        <barDir val="bar"/>
        <grouping val="stacked"/>
        <varyColors val="1"/>
        <ser>
          <idx val="0"/>
          <order val="0"/>
          <tx>
            <strRef>
              <f>Stats!$F$8</f>
              <strCache>
                <ptCount val="1"/>
                <pt idx="0">
                  <v>Sunday Apr 19, Apr Follow-Up</v>
                </pt>
              </strCache>
            </strRef>
          </tx>
          <spPr>
            <a:solidFill xmlns:a="http://schemas.openxmlformats.org/drawingml/2006/main">
              <a:srgbClr val="3C78D8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invertIfNegative val="1"/>
          <val>
            <numRef>
              <f>Stats!$G$8</f>
              <numCache>
                <formatCode>0.00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tx>
            <strRef>
              <f>Stats!$F$9</f>
              <strCache>
                <ptCount val="1"/>
                <pt idx="0">
                  <v>Generating HWER Complex Systems Modeling Scholar Fellowship (award)</v>
                </pt>
              </strCache>
            </strRef>
          </tx>
          <spPr>
            <a:solidFill xmlns:a="http://schemas.openxmlformats.org/drawingml/2006/main">
              <a:srgbClr val="3D85C6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invertIfNegative val="1"/>
          <val>
            <numRef>
              <f>Stats!$G$9</f>
              <numCache>
                <formatCode>0.00</formatCode>
                <ptCount val="1"/>
                <pt idx="0">
                  <v>1.5</v>
                </pt>
              </numCache>
            </numRef>
          </val>
        </ser>
        <ser>
          <idx val="2"/>
          <order val="2"/>
          <tx>
            <strRef>
              <f>Stats!$F$10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rgbClr val="674EA7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invertIfNegative val="1"/>
          <val>
            <numRef>
              <f>Stats!$G$10</f>
              <numCache>
                <formatCode>0.00</formatCode>
                <ptCount val="1"/>
                <pt idx="0">
                  <v>0</v>
                </pt>
              </numCache>
            </numRef>
          </val>
        </ser>
        <ser>
          <idx val="3"/>
          <order val="3"/>
          <tx>
            <strRef>
              <f>Stats!$F$11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rgbClr val="A64D7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invertIfNegative val="1"/>
          <val>
            <numRef>
              <f>Stats!$G$11</f>
              <numCache>
                <formatCode>0.00</formatCode>
                <ptCount val="1"/>
                <pt idx="0">
                  <v>0</v>
                </pt>
              </numCache>
            </numRef>
          </val>
        </ser>
        <ser>
          <idx val="4"/>
          <order val="4"/>
          <tx>
            <strRef>
              <f>Stats!$F$12</f>
              <strCache>
                <ptCount val="1"/>
                <pt idx="0">
                  <v>0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val>
            <numRef>
              <f>Stats!$G$12</f>
              <numCache>
                <formatCode>0.00</formatCode>
                <ptCount val="1"/>
                <pt idx="0">
                  <v>0</v>
                </pt>
              </numCache>
            </numRef>
          </val>
        </ser>
        <ser>
          <idx val="5"/>
          <order val="5"/>
          <tx>
            <strRef>
              <f>Stats!$F$13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val>
            <numRef>
              <f>Stats!$G$13</f>
              <numCache>
                <formatCode>General</formatCode>
                <ptCount val="1"/>
              </numCache>
            </numRef>
          </val>
        </ser>
        <ser>
          <idx val="6"/>
          <order val="6"/>
          <tx>
            <strRef>
              <f>Stats!$F$14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val>
            <numRef>
              <f>Stats!$G$14</f>
              <numCache>
                <formatCode>General</formatCode>
                <ptCount val="1"/>
              </numCache>
            </numRef>
          </val>
        </ser>
        <ser>
          <idx val="7"/>
          <order val="7"/>
          <tx>
            <strRef>
              <f>Stats!$F$15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val>
            <numRef>
              <f>Stats!$G$15</f>
              <numCache>
                <formatCode>General</formatCode>
                <ptCount val="1"/>
              </numCache>
            </numRef>
          </val>
        </ser>
        <ser>
          <idx val="8"/>
          <order val="8"/>
          <tx>
            <strRef>
              <f>Stats!$F$16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val>
            <numRef>
              <f>Stats!$G$16</f>
              <numCache>
                <formatCode>General</formatCode>
                <ptCount val="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48650112"/>
        <axId val="48672768"/>
      </barChart>
      <catAx>
        <axId val="48650112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t/>
            </a:r>
            <a:endParaRPr lang="en-US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t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numFmt formatCode="0.00" sourceLinked="1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t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spPr>
            <a:solidFill xmlns:a="http://schemas.openxmlformats.org/drawingml/2006/main">
              <a:srgbClr val="3C78D8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invertIfNegative val="1"/>
          <cat>
            <strRef>
              <f>Stats!$F$28:$F$33</f>
              <strCache>
                <ptCount val="5"/>
                <pt idx="0">
                  <v>Mon</v>
                </pt>
                <pt idx="1">
                  <v>Tue</v>
                </pt>
                <pt idx="2">
                  <v>Wed</v>
                </pt>
                <pt idx="3">
                  <v>Thu</v>
                </pt>
                <pt idx="4">
                  <v>Fri</v>
                </pt>
              </strCache>
            </strRef>
          </cat>
          <val>
            <numRef>
              <f>Stats!$G$28:$G$33</f>
              <numCache>
                <formatCode>0.00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</v>
                </pt>
                <pt idx="4">
                  <v>1.5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Roboto"/>
                <a:ea typeface="Roboto"/>
                <a:cs typeface="Roboto"/>
              </a:defRPr>
            </a:pPr>
            <a:r>
              <a:t/>
            </a:r>
            <a:endParaRPr lang="en-US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numFmt formatCode="0.00" sourceLinked="1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Roboto"/>
                <a:ea typeface="Roboto"/>
                <a:cs typeface="Roboto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730250</colOff>
      <row>1</row>
      <rowOff>139700</rowOff>
    </from>
    <ext cx="495300" cy="533400"/>
    <pic>
      <nvPicPr>
        <cNvPr id="2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419100</colOff>
      <row>4</row>
      <rowOff>685800</rowOff>
    </from>
    <ext cx="4953000" cy="20764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19050</colOff>
      <row>26</row>
      <rowOff>238125</rowOff>
    </from>
    <ext cx="4962525" cy="21336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1" displayName="Table_1" ref="B12:H16" headerRowCount="1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tabSelected="1" topLeftCell="A17" workbookViewId="0">
      <selection activeCell="D36" sqref="D36"/>
    </sheetView>
  </sheetViews>
  <sheetFormatPr baseColWidth="8" defaultColWidth="12.54296875" defaultRowHeight="12.5"/>
  <cols>
    <col width="6.1796875" customWidth="1" style="157" min="1" max="1"/>
    <col width="28" customWidth="1" style="157" min="2" max="2"/>
    <col width="16" customWidth="1" style="157" min="3" max="5"/>
    <col width="20" customWidth="1" style="157" min="6" max="8"/>
    <col width="17.453125" customWidth="1" style="157" min="9" max="9"/>
  </cols>
  <sheetData>
    <row r="1" ht="6" customHeight="1" s="157">
      <c r="A1" s="1" t="n"/>
      <c r="B1" s="1" t="n"/>
      <c r="C1" s="2" t="n"/>
      <c r="D1" s="2" t="n"/>
      <c r="E1" s="1" t="n"/>
      <c r="F1" s="1" t="n"/>
      <c r="G1" s="1" t="n"/>
      <c r="H1" s="47" t="n"/>
      <c r="I1" s="48" t="n"/>
    </row>
    <row r="2" ht="18" customHeight="1" s="157">
      <c r="A2" s="3" t="n"/>
      <c r="B2" s="186">
        <f>'Control Panel'!B7</f>
        <v/>
      </c>
      <c r="G2" s="3" t="n"/>
      <c r="H2" s="49" t="n"/>
      <c r="I2" s="50" t="n"/>
    </row>
    <row r="3" ht="19.5" customHeight="1" s="157">
      <c r="A3" s="4" t="n"/>
      <c r="G3" s="4" t="n"/>
      <c r="H3" s="4" t="n"/>
      <c r="I3" s="51" t="n"/>
    </row>
    <row r="4" ht="18" customHeight="1" s="157">
      <c r="A4" s="5" t="n"/>
      <c r="B4" s="5" t="n"/>
      <c r="C4" s="5" t="n"/>
      <c r="D4" s="5" t="n"/>
      <c r="E4" s="5" t="n"/>
      <c r="F4" s="5" t="n"/>
      <c r="G4" s="5" t="n"/>
      <c r="H4" s="5" t="n"/>
      <c r="I4" s="13" t="n"/>
    </row>
    <row r="5" ht="43" customHeight="1" s="157">
      <c r="A5" s="52" t="n"/>
      <c r="B5" s="187">
        <f>YEAR('Control Panel'!B12)&amp;" "&amp;TEXT('Control Panel'!B12,"mmm")&amp;" Week "&amp;'Control Panel'!B13&amp;" Time Sheet"</f>
        <v/>
      </c>
      <c r="I5" s="52" t="n"/>
    </row>
    <row r="6" ht="17" customHeight="1" s="157">
      <c r="A6" s="52" t="n"/>
      <c r="B6" s="6" t="n"/>
      <c r="C6" s="6" t="n"/>
      <c r="D6" s="6" t="n"/>
      <c r="E6" s="6" t="n"/>
      <c r="F6" s="6" t="n"/>
      <c r="G6" s="6" t="n"/>
      <c r="H6" s="6" t="n"/>
      <c r="I6" s="6" t="n"/>
    </row>
    <row r="7" ht="18" customHeight="1" s="157">
      <c r="A7" s="52" t="n"/>
      <c r="B7" s="188" t="inlineStr">
        <is>
          <t>Timeframe:</t>
        </is>
      </c>
      <c r="E7" s="189">
        <f>"Week of "&amp;TEXT('Control Panel'!B12,"m/d/yyyy")&amp;" - "&amp;TEXT('Control Panel'!B12+4,"m/d/yyyy")</f>
        <v/>
      </c>
      <c r="H7" s="164" t="n"/>
      <c r="I7" s="7" t="n"/>
    </row>
    <row r="8" ht="13" customHeight="1" s="157">
      <c r="A8" s="5" t="n"/>
      <c r="B8" s="8" t="n"/>
      <c r="C8" s="8" t="n"/>
      <c r="D8" s="8" t="n"/>
      <c r="E8" s="8" t="n"/>
      <c r="F8" s="8" t="n"/>
      <c r="G8" s="8" t="n"/>
      <c r="H8" s="8" t="n"/>
      <c r="I8" s="5" t="n"/>
    </row>
    <row r="9" ht="13" customHeight="1" s="157">
      <c r="A9" s="53" t="n"/>
      <c r="B9" s="54" t="n"/>
      <c r="C9" s="54" t="n"/>
      <c r="D9" s="54" t="n"/>
      <c r="E9" s="53" t="n"/>
      <c r="F9" s="54" t="n"/>
      <c r="G9" s="54" t="n"/>
      <c r="H9" s="54" t="n"/>
      <c r="I9" s="53" t="n"/>
    </row>
    <row r="10" ht="19.5" customHeight="1" s="157">
      <c r="A10" s="55" t="n"/>
      <c r="B10" s="56" t="n"/>
      <c r="C10" s="57">
        <f>TEXT(C11, "DDD")</f>
        <v/>
      </c>
      <c r="D10" s="57">
        <f>TEXT(D11, "DDD")</f>
        <v/>
      </c>
      <c r="E10" s="57">
        <f>TEXT(E11, "DDD")</f>
        <v/>
      </c>
      <c r="F10" s="57">
        <f>TEXT(F11, "DDD")</f>
        <v/>
      </c>
      <c r="G10" s="57">
        <f>TEXT(G11, "DDD")</f>
        <v/>
      </c>
      <c r="H10" s="9" t="n"/>
      <c r="I10" s="55" t="n"/>
    </row>
    <row r="11" ht="24" customHeight="1" s="157">
      <c r="A11" s="10" t="n"/>
      <c r="B11" s="11" t="n"/>
      <c r="C11" s="96">
        <f>'Control Panel'!B12</f>
        <v/>
      </c>
      <c r="D11" s="96">
        <f>C11+1</f>
        <v/>
      </c>
      <c r="E11" s="96">
        <f>D11+1</f>
        <v/>
      </c>
      <c r="F11" s="96">
        <f>E11+1</f>
        <v/>
      </c>
      <c r="G11" s="96">
        <f>F11+1</f>
        <v/>
      </c>
      <c r="H11" s="12" t="inlineStr">
        <is>
          <t>Totals</t>
        </is>
      </c>
      <c r="I11" s="10" t="n"/>
    </row>
    <row r="12" ht="27.5" customHeight="1" s="157">
      <c r="A12" s="13" t="n"/>
      <c r="B12" s="44">
        <f>'Control Panel'!A22</f>
        <v/>
      </c>
      <c r="C12" s="58">
        <f>'Control Panel'!B22</f>
        <v/>
      </c>
      <c r="D12" s="58">
        <f>'Control Panel'!C22</f>
        <v/>
      </c>
      <c r="E12" s="58">
        <f>'Control Panel'!D22</f>
        <v/>
      </c>
      <c r="F12" s="58">
        <f>'Control Panel'!E22</f>
        <v/>
      </c>
      <c r="G12" s="60">
        <f>'Control Panel'!F22</f>
        <v/>
      </c>
      <c r="H12" s="59">
        <f>SUM(C12:G12)</f>
        <v/>
      </c>
      <c r="I12" s="13" t="n"/>
    </row>
    <row r="13" ht="57" customHeight="1" s="157">
      <c r="A13" s="13" t="n"/>
      <c r="B13" s="44">
        <f>'Control Panel'!A23</f>
        <v/>
      </c>
      <c r="C13" s="45">
        <f>'Control Panel'!B23</f>
        <v/>
      </c>
      <c r="D13" s="131">
        <f>'Control Panel'!C23</f>
        <v/>
      </c>
      <c r="E13" s="45">
        <f>'Control Panel'!D23</f>
        <v/>
      </c>
      <c r="F13" s="60">
        <f>'Control Panel'!E23</f>
        <v/>
      </c>
      <c r="G13" s="60">
        <f>'Control Panel'!F23</f>
        <v/>
      </c>
      <c r="H13" s="59">
        <f>SUM(C13:G13)</f>
        <v/>
      </c>
      <c r="I13" s="13" t="n"/>
    </row>
    <row r="14" ht="21" customHeight="1" s="157">
      <c r="A14" s="13" t="n"/>
      <c r="B14" s="14">
        <f>'Control Panel'!A24</f>
        <v/>
      </c>
      <c r="C14" s="58">
        <f>'Control Panel'!B24</f>
        <v/>
      </c>
      <c r="D14" s="58">
        <f>'Control Panel'!C24</f>
        <v/>
      </c>
      <c r="E14" s="58">
        <f>'Control Panel'!D24</f>
        <v/>
      </c>
      <c r="F14" s="58">
        <f>'Control Panel'!E24</f>
        <v/>
      </c>
      <c r="G14" s="58">
        <f>'Control Panel'!F24</f>
        <v/>
      </c>
      <c r="H14" s="59">
        <f>SUM(C14:G14)</f>
        <v/>
      </c>
      <c r="I14" s="13" t="n"/>
    </row>
    <row r="15" ht="21" customHeight="1" s="157">
      <c r="A15" s="13" t="n"/>
      <c r="B15" s="14">
        <f>'Control Panel'!A25</f>
        <v/>
      </c>
      <c r="C15" s="58">
        <f>'Control Panel'!B25</f>
        <v/>
      </c>
      <c r="D15" s="58">
        <f>'Control Panel'!C25</f>
        <v/>
      </c>
      <c r="E15" s="58">
        <f>'Control Panel'!D25</f>
        <v/>
      </c>
      <c r="F15" s="58">
        <f>'Control Panel'!E25</f>
        <v/>
      </c>
      <c r="G15" s="58">
        <f>'Control Panel'!F25</f>
        <v/>
      </c>
      <c r="H15" s="59">
        <f>SUM(C15:G15)</f>
        <v/>
      </c>
      <c r="I15" s="13" t="n"/>
    </row>
    <row r="16" hidden="1" ht="21.75" customHeight="1" s="157">
      <c r="A16" s="52" t="n"/>
      <c r="B16" s="52">
        <f>'Control Panel'!A26</f>
        <v/>
      </c>
      <c r="C16" s="60">
        <f>'Control Panel'!B26</f>
        <v/>
      </c>
      <c r="D16" s="60">
        <f>'Control Panel'!C26</f>
        <v/>
      </c>
      <c r="E16" s="60">
        <f>'Control Panel'!D26</f>
        <v/>
      </c>
      <c r="F16" s="60">
        <f>'Control Panel'!E26</f>
        <v/>
      </c>
      <c r="G16" s="60">
        <f>'Control Panel'!F26</f>
        <v/>
      </c>
      <c r="H16" s="60">
        <f>SUM(C16:G16)</f>
        <v/>
      </c>
      <c r="I16" s="52" t="n"/>
    </row>
    <row r="17" ht="21" customHeight="1" s="157">
      <c r="A17" s="61" t="n"/>
      <c r="B17" s="15" t="inlineStr">
        <is>
          <t>Total hrs</t>
        </is>
      </c>
      <c r="C17" s="62">
        <f>SUM(C12:C16)</f>
        <v/>
      </c>
      <c r="D17" s="62">
        <f>SUM(D12:D16)</f>
        <v/>
      </c>
      <c r="E17" s="62">
        <f>SUM(E12:E16)</f>
        <v/>
      </c>
      <c r="F17" s="62">
        <f>SUM(F12:F16)</f>
        <v/>
      </c>
      <c r="G17" s="62">
        <f>SUM(G12:G16)</f>
        <v/>
      </c>
      <c r="H17" s="16">
        <f>SUM(H12:H16)</f>
        <v/>
      </c>
      <c r="I17" s="61" t="n"/>
    </row>
    <row r="18" ht="21" customHeight="1" s="157">
      <c r="A18" s="61" t="n"/>
      <c r="B18" s="3" t="n"/>
      <c r="C18" s="61" t="n"/>
      <c r="D18" s="61" t="n"/>
      <c r="E18" s="61" t="n"/>
      <c r="F18" s="190" t="inlineStr">
        <is>
          <t>Billing rate (hourly)</t>
        </is>
      </c>
      <c r="H18" s="97">
        <f>'Control Panel'!B14</f>
        <v/>
      </c>
      <c r="I18" s="61" t="n"/>
    </row>
    <row r="19" ht="30" customHeight="1" s="157">
      <c r="A19" s="17" t="n"/>
      <c r="B19" s="18" t="n"/>
      <c r="C19" s="17" t="n"/>
      <c r="D19" s="17" t="n"/>
      <c r="E19" s="67" t="inlineStr">
        <is>
          <t>Week Balance:</t>
        </is>
      </c>
      <c r="F19" s="191">
        <f>H17*H18</f>
        <v/>
      </c>
      <c r="I19" s="17" t="n"/>
    </row>
    <row r="20" ht="84" customHeight="1" s="157">
      <c r="A20" s="52" t="n"/>
      <c r="B20" s="19" t="n"/>
      <c r="C20" s="52" t="n"/>
      <c r="D20" s="52" t="n"/>
      <c r="E20" s="192">
        <f>"(Current Total Balance: $"&amp;TEXT('Control Panel'!B15,"#,##0.00")&amp;" PRIOR + $"&amp;TEXT('Control Panel'!B17,"#,##0.00")&amp;" NEW = $"&amp;TEXT('Control Panel'!B18,"#,##0.00")&amp;")"</f>
        <v/>
      </c>
      <c r="I20" s="52" t="n"/>
    </row>
    <row r="21" ht="19.5" customHeight="1" s="157">
      <c r="A21" s="52" t="n"/>
      <c r="B21" s="19" t="inlineStr">
        <is>
          <t>Output</t>
        </is>
      </c>
      <c r="C21" s="52" t="n"/>
      <c r="D21" s="52" t="n"/>
      <c r="E21" s="52" t="n"/>
      <c r="F21" s="52" t="n"/>
      <c r="G21" s="52" t="n"/>
      <c r="H21" s="52" t="n"/>
      <c r="I21" s="52" t="n"/>
    </row>
    <row r="22" ht="61" customHeight="1" s="157">
      <c r="A22" s="52" t="n"/>
      <c r="B22" s="99" t="inlineStr">
        <is>
          <t>Activity</t>
        </is>
      </c>
      <c r="C22" s="193" t="inlineStr">
        <is>
          <t>Output description</t>
        </is>
      </c>
      <c r="I22" s="52" t="n"/>
    </row>
    <row r="23" ht="26" customHeight="1" s="157">
      <c r="A23" s="52" t="n"/>
      <c r="B23" s="100">
        <f>'Control Panel'!A22</f>
        <v/>
      </c>
      <c r="C23" s="194">
        <f>'Control Panel'!H22</f>
        <v/>
      </c>
      <c r="I23" s="52" t="n"/>
    </row>
    <row r="24" ht="19.5" customHeight="1" s="157">
      <c r="A24" s="52" t="n"/>
      <c r="B24" s="101">
        <f>'Control Panel'!A23</f>
        <v/>
      </c>
      <c r="C24" s="195">
        <f>'Control Panel'!H23</f>
        <v/>
      </c>
      <c r="I24" s="52" t="n"/>
    </row>
    <row r="25" ht="19.5" customHeight="1" s="157">
      <c r="A25" s="52" t="n"/>
      <c r="B25" s="102">
        <f>'Control Panel'!A24</f>
        <v/>
      </c>
      <c r="C25" s="103">
        <f>'Control Panel'!H24</f>
        <v/>
      </c>
      <c r="D25" s="103" t="n"/>
      <c r="E25" s="103" t="n"/>
      <c r="F25" s="103" t="n"/>
      <c r="G25" s="103" t="n"/>
      <c r="H25" s="104" t="n"/>
      <c r="I25" s="52" t="n"/>
    </row>
    <row r="26" ht="13" customHeight="1" s="157">
      <c r="A26" s="52" t="n"/>
      <c r="B26" s="105">
        <f>'Control Panel'!A25</f>
        <v/>
      </c>
      <c r="C26" s="196">
        <f>'Control Panel'!H25</f>
        <v/>
      </c>
      <c r="D26" s="103" t="n"/>
      <c r="E26" s="107" t="n"/>
      <c r="F26" s="103" t="n"/>
      <c r="G26" s="103" t="n"/>
      <c r="H26" s="104" t="n"/>
      <c r="I26" s="52" t="n"/>
    </row>
    <row r="27" ht="13" customHeight="1" s="157">
      <c r="A27" s="52" t="n"/>
      <c r="B27" s="108">
        <f>'Control Panel'!A26</f>
        <v/>
      </c>
      <c r="C27" s="197">
        <f>'Control Panel'!H26</f>
        <v/>
      </c>
      <c r="D27" s="110" t="n"/>
      <c r="E27" s="111" t="n"/>
      <c r="F27" s="110" t="n"/>
      <c r="G27" s="110" t="n"/>
      <c r="H27" s="112" t="n"/>
      <c r="I27" s="52" t="n"/>
    </row>
    <row r="28" ht="13" customHeight="1" s="157">
      <c r="A28" s="52" t="n"/>
      <c r="B28" s="68" t="n"/>
      <c r="C28" s="198" t="n"/>
      <c r="D28" s="65" t="n"/>
      <c r="E28" s="66" t="n"/>
      <c r="F28" s="52" t="n"/>
      <c r="G28" s="52" t="n"/>
      <c r="H28" s="52" t="n"/>
      <c r="I28" s="52" t="n"/>
    </row>
    <row r="29" ht="13" customHeight="1" s="157">
      <c r="A29" s="52" t="n"/>
      <c r="B29" s="113" t="inlineStr">
        <is>
          <t>Payment Record</t>
        </is>
      </c>
      <c r="C29" s="199" t="inlineStr">
        <is>
          <t>Amount</t>
        </is>
      </c>
      <c r="D29" s="115" t="inlineStr">
        <is>
          <t>Date</t>
        </is>
      </c>
      <c r="E29" s="116" t="inlineStr">
        <is>
          <t>Notes</t>
        </is>
      </c>
      <c r="F29" s="52" t="n"/>
      <c r="G29" s="52" t="n"/>
      <c r="H29" s="52" t="n"/>
      <c r="I29" s="52" t="n"/>
    </row>
    <row r="30" ht="13" customHeight="1" s="157">
      <c r="A30" s="52" t="n"/>
      <c r="B30" s="117" t="n"/>
      <c r="C30" s="118">
        <f>'Control Panel'!A32</f>
        <v/>
      </c>
      <c r="D30" s="119">
        <f>'Control Panel'!B32</f>
        <v/>
      </c>
      <c r="E30" s="120">
        <f>'Control Panel'!C32</f>
        <v/>
      </c>
      <c r="F30" s="52" t="n"/>
      <c r="G30" s="52" t="n"/>
      <c r="H30" s="52" t="n"/>
      <c r="I30" s="52" t="n"/>
    </row>
    <row r="31" ht="13" customHeight="1" s="157">
      <c r="A31" s="52" t="n"/>
      <c r="B31" s="200" t="n"/>
      <c r="C31" s="122">
        <f>'Control Panel'!A33</f>
        <v/>
      </c>
      <c r="D31" s="119">
        <f>'Control Panel'!B33</f>
        <v/>
      </c>
      <c r="E31" s="120">
        <f>'Control Panel'!C33</f>
        <v/>
      </c>
      <c r="F31" s="52" t="n"/>
      <c r="G31" s="52" t="n"/>
      <c r="H31" s="52" t="n"/>
      <c r="I31" s="52" t="n"/>
    </row>
    <row r="32" ht="19.5" customHeight="1" s="157">
      <c r="A32" s="52" t="n"/>
      <c r="B32" s="123" t="n"/>
      <c r="C32" s="118">
        <f>'Control Panel'!A34</f>
        <v/>
      </c>
      <c r="D32" s="124">
        <f>'Control Panel'!B34</f>
        <v/>
      </c>
      <c r="E32" s="125">
        <f>'Control Panel'!C34</f>
        <v/>
      </c>
      <c r="F32" s="52" t="n"/>
      <c r="G32" s="52" t="n"/>
      <c r="H32" s="52" t="n"/>
      <c r="I32" s="52" t="n"/>
    </row>
    <row r="33" ht="19.5" customHeight="1" s="157">
      <c r="A33" s="52" t="n"/>
      <c r="B33" s="126" t="n"/>
      <c r="C33" s="118">
        <f>'Control Panel'!A35</f>
        <v/>
      </c>
      <c r="D33" s="124">
        <f>'Control Panel'!B35</f>
        <v/>
      </c>
      <c r="E33" s="125">
        <f>'Control Panel'!C35</f>
        <v/>
      </c>
      <c r="F33" s="52" t="n"/>
      <c r="G33" s="52" t="n"/>
      <c r="H33" s="52" t="n"/>
      <c r="I33" s="52" t="n"/>
    </row>
    <row r="34">
      <c r="B34" s="127" t="n"/>
      <c r="C34" s="128">
        <f>'Control Panel'!A36</f>
        <v/>
      </c>
      <c r="D34" s="129">
        <f>'Control Panel'!B36</f>
        <v/>
      </c>
      <c r="E34" s="130">
        <f>'Control Panel'!C36</f>
        <v/>
      </c>
    </row>
    <row r="36">
      <c r="B36">
        <f>"$"&amp;TEXT('Control Panel'!B19,"#,##0.00")&amp;"/$"&amp;TEXT('Control Panel'!B16,"#,##0.00")&amp;" max"</f>
        <v/>
      </c>
      <c r="C36">
        <f>'Control Panel'!B8</f>
        <v/>
      </c>
    </row>
    <row r="37">
      <c r="B37" s="178">
        <f>'Control Panel'!B9</f>
        <v/>
      </c>
      <c r="C37" s="178" t="n"/>
      <c r="D37" s="178" t="n"/>
      <c r="E37" s="178" t="n"/>
      <c r="F37" s="178" t="n"/>
      <c r="G37" s="178" t="n"/>
      <c r="H37" s="178" t="n"/>
    </row>
  </sheetData>
  <mergeCells count="10">
    <mergeCell ref="C24:H24"/>
    <mergeCell ref="F19:H19"/>
    <mergeCell ref="C22:H22"/>
    <mergeCell ref="B2:F3"/>
    <mergeCell ref="F18:G18"/>
    <mergeCell ref="C23:H23"/>
    <mergeCell ref="E20:H20"/>
    <mergeCell ref="B7:D7"/>
    <mergeCell ref="B5:H5"/>
    <mergeCell ref="E7:G7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ColWidth="12.54296875" defaultRowHeight="12.5"/>
  <cols>
    <col width="5.1796875" customWidth="1" style="157" min="1" max="1"/>
    <col width="40.453125" customWidth="1" style="157" min="4" max="4"/>
    <col width="3.1796875" customWidth="1" style="157" min="5" max="5"/>
    <col width="8.1796875" customWidth="1" style="157" min="7" max="7"/>
    <col width="5.1796875" customWidth="1" style="157" min="8" max="8"/>
  </cols>
  <sheetData>
    <row r="1" ht="6" customHeight="1" s="157">
      <c r="A1" s="1" t="n"/>
      <c r="B1" s="1" t="n"/>
      <c r="C1" s="1" t="n"/>
      <c r="D1" s="1" t="n"/>
      <c r="E1" s="1" t="n"/>
      <c r="F1" s="47" t="n"/>
      <c r="G1" s="47" t="n"/>
      <c r="H1" s="1" t="n"/>
    </row>
    <row r="2" ht="19.5" customHeight="1" s="157">
      <c r="A2" s="63" t="n"/>
      <c r="B2" s="63" t="n"/>
      <c r="C2" s="63" t="n"/>
      <c r="D2" s="63" t="n"/>
      <c r="E2" s="63" t="n"/>
      <c r="F2" s="64" t="n"/>
      <c r="G2" s="64" t="n"/>
      <c r="H2" s="63" t="n"/>
    </row>
    <row r="3" ht="19.5" customHeight="1" s="157">
      <c r="A3" s="63" t="n"/>
      <c r="B3" s="167" t="inlineStr">
        <is>
          <t>Utilization</t>
        </is>
      </c>
      <c r="C3" s="168" t="n"/>
      <c r="D3" s="169" t="inlineStr">
        <is>
          <t>See breakdowns of your week by project or day.
Everything in this tab updates from the Time sheet tab and Control Panel.</t>
        </is>
      </c>
      <c r="E3" s="168" t="n"/>
      <c r="F3" s="168" t="n"/>
      <c r="G3" s="170" t="n"/>
      <c r="H3" s="63" t="n"/>
    </row>
    <row r="4" ht="19.5" customHeight="1" s="157">
      <c r="A4" s="63" t="n"/>
      <c r="B4" s="20" t="n"/>
      <c r="C4" s="63" t="n"/>
      <c r="D4" s="63" t="n"/>
      <c r="E4" s="63" t="n"/>
      <c r="F4" s="64" t="n"/>
      <c r="G4" s="64" t="n"/>
      <c r="H4" s="63" t="n"/>
    </row>
    <row r="5" ht="30.75" customHeight="1" s="157">
      <c r="A5" s="21" t="n"/>
      <c r="B5" s="22" t="inlineStr">
        <is>
          <t>By Project</t>
        </is>
      </c>
      <c r="C5" s="23" t="n"/>
      <c r="D5" s="23" t="n"/>
      <c r="E5" s="23" t="n"/>
      <c r="F5" s="23" t="n"/>
      <c r="G5" s="24" t="n"/>
      <c r="H5" s="63" t="n"/>
    </row>
    <row r="6" ht="4.5" customHeight="1" s="157">
      <c r="A6" s="25" t="n"/>
      <c r="B6" s="26" t="n"/>
      <c r="C6" s="26" t="n"/>
      <c r="D6" s="26" t="n"/>
      <c r="E6" s="26" t="n"/>
      <c r="F6" s="27" t="n"/>
      <c r="G6" s="26" t="n"/>
      <c r="H6" s="28" t="n"/>
    </row>
    <row r="7" ht="19.5" customHeight="1" s="157">
      <c r="A7" s="28" t="n"/>
      <c r="B7" s="28" t="n"/>
      <c r="C7" s="28" t="n"/>
      <c r="D7" s="28" t="n"/>
      <c r="E7" s="28" t="n"/>
      <c r="F7" s="29" t="n"/>
      <c r="G7" s="30" t="n"/>
      <c r="H7" s="28" t="n"/>
    </row>
    <row r="8" ht="19.5" customHeight="1" s="157">
      <c r="A8" s="28" t="n"/>
      <c r="B8" s="28" t="n"/>
      <c r="C8" s="28" t="n"/>
      <c r="D8" s="28" t="n"/>
      <c r="E8" s="28" t="n"/>
      <c r="F8" s="29">
        <f t="array" ref="F8:F12">'Time sheet'!B12:B16</f>
        <v/>
      </c>
      <c r="G8" s="31">
        <f t="array" ref="G8:G12">'Time sheet'!H12:H16</f>
        <v/>
      </c>
      <c r="H8" s="28" t="n"/>
    </row>
    <row r="9" ht="19.5" customHeight="1" s="157">
      <c r="A9" s="28" t="n"/>
      <c r="B9" s="28" t="n"/>
      <c r="C9" s="28" t="n"/>
      <c r="D9" s="28" t="n"/>
      <c r="E9" s="28" t="n"/>
      <c r="F9" s="29" t="inlineStr">
        <is>
          <t>Generating HWER Complex Systems Modeling Scholar Fellowship (award)</t>
        </is>
      </c>
      <c r="G9" s="31" t="n">
        <v>1.5</v>
      </c>
      <c r="H9" s="28" t="n"/>
    </row>
    <row r="10" ht="19.5" customHeight="1" s="157">
      <c r="A10" s="28" t="n"/>
      <c r="B10" s="28" t="n"/>
      <c r="C10" s="28" t="n"/>
      <c r="D10" s="28" t="n"/>
      <c r="E10" s="28" t="n"/>
      <c r="F10" s="29" t="n">
        <v>0</v>
      </c>
      <c r="G10" s="31" t="n">
        <v>0</v>
      </c>
      <c r="H10" s="28" t="n"/>
    </row>
    <row r="11" ht="19.5" customHeight="1" s="157">
      <c r="A11" s="28" t="n"/>
      <c r="B11" s="28" t="n"/>
      <c r="C11" s="32" t="n"/>
      <c r="D11" s="28" t="n"/>
      <c r="E11" s="28" t="n"/>
      <c r="F11" s="29" t="n">
        <v>0</v>
      </c>
      <c r="G11" s="31" t="n">
        <v>0</v>
      </c>
      <c r="H11" s="32" t="n"/>
    </row>
    <row r="12" ht="19.5" customHeight="1" s="157">
      <c r="A12" s="28" t="n"/>
      <c r="B12" s="28" t="n"/>
      <c r="C12" s="28" t="n"/>
      <c r="D12" s="28" t="n"/>
      <c r="E12" s="28" t="n"/>
      <c r="F12" s="29" t="n">
        <v>0</v>
      </c>
      <c r="G12" s="31" t="n">
        <v>0</v>
      </c>
      <c r="H12" s="28" t="n"/>
    </row>
    <row r="13" ht="19.5" customHeight="1" s="157">
      <c r="A13" s="28" t="n"/>
      <c r="B13" s="28" t="n"/>
      <c r="C13" s="33" t="n"/>
      <c r="D13" s="33" t="n"/>
      <c r="E13" s="28" t="n"/>
      <c r="F13" s="29" t="n"/>
      <c r="G13" s="34" t="n"/>
      <c r="H13" s="28" t="n"/>
    </row>
    <row r="14" ht="19.5" customHeight="1" s="157">
      <c r="A14" s="28" t="n"/>
      <c r="B14" s="28" t="n"/>
      <c r="C14" s="28" t="n"/>
      <c r="D14" s="28" t="n"/>
      <c r="E14" s="28" t="n"/>
      <c r="F14" s="35" t="n"/>
      <c r="G14" s="30" t="n"/>
      <c r="H14" s="28" t="n"/>
    </row>
    <row r="15" ht="19.5" customHeight="1" s="157">
      <c r="A15" s="36" t="n"/>
      <c r="B15" s="28" t="n"/>
      <c r="C15" s="28" t="n"/>
      <c r="D15" s="37" t="n"/>
      <c r="E15" s="37" t="n"/>
      <c r="F15" s="29" t="n"/>
      <c r="G15" s="34" t="n"/>
      <c r="H15" s="28" t="n"/>
    </row>
    <row r="16" ht="19.5" customHeight="1" s="157">
      <c r="A16" s="28" t="n"/>
      <c r="B16" s="28" t="n"/>
      <c r="C16" s="28" t="n"/>
      <c r="D16" s="28" t="n"/>
      <c r="E16" s="28" t="n"/>
      <c r="F16" s="29" t="n"/>
      <c r="G16" s="34" t="n"/>
      <c r="H16" s="28" t="n"/>
    </row>
    <row r="17" ht="19.5" customHeight="1" s="157">
      <c r="A17" s="28" t="n"/>
      <c r="B17" s="28" t="n"/>
      <c r="C17" s="28" t="n"/>
      <c r="D17" s="28" t="n"/>
      <c r="E17" s="28" t="n"/>
      <c r="F17" s="29" t="n"/>
      <c r="G17" s="34" t="n"/>
      <c r="H17" s="28" t="n"/>
    </row>
    <row r="18" ht="1.5" customHeight="1" s="157">
      <c r="A18" s="28" t="n"/>
      <c r="B18" s="28" t="n"/>
      <c r="C18" s="28" t="n"/>
      <c r="D18" s="28" t="n"/>
      <c r="E18" s="28" t="n"/>
      <c r="F18" s="29" t="n"/>
      <c r="G18" s="34" t="n"/>
      <c r="H18" s="28" t="n"/>
    </row>
    <row r="19" ht="1.5" customHeight="1" s="157">
      <c r="A19" s="28" t="n"/>
      <c r="B19" s="28" t="n"/>
      <c r="C19" s="28" t="n"/>
      <c r="D19" s="28" t="n"/>
      <c r="E19" s="28" t="n"/>
      <c r="F19" s="29" t="n"/>
      <c r="G19" s="34" t="n"/>
      <c r="H19" s="28" t="n"/>
    </row>
    <row r="20" ht="1.5" customHeight="1" s="157">
      <c r="A20" s="28" t="n"/>
      <c r="B20" s="28" t="n"/>
      <c r="C20" s="28" t="n"/>
      <c r="D20" s="28" t="n"/>
      <c r="E20" s="28" t="n"/>
      <c r="F20" s="29" t="n"/>
      <c r="G20" s="34" t="n"/>
      <c r="H20" s="28" t="n"/>
    </row>
    <row r="21" ht="1.5" customHeight="1" s="157">
      <c r="A21" s="28" t="n"/>
      <c r="B21" s="28" t="n"/>
      <c r="C21" s="28" t="n"/>
      <c r="D21" s="28" t="n"/>
      <c r="E21" s="28" t="n"/>
      <c r="F21" s="29" t="n"/>
      <c r="G21" s="34" t="n"/>
      <c r="H21" s="28" t="n"/>
    </row>
    <row r="22" ht="1.5" customHeight="1" s="157">
      <c r="A22" s="28" t="n"/>
      <c r="B22" s="28" t="n"/>
      <c r="C22" s="28" t="n"/>
      <c r="D22" s="28" t="n"/>
      <c r="E22" s="28" t="n"/>
      <c r="F22" s="29" t="n"/>
      <c r="G22" s="34" t="n"/>
      <c r="H22" s="28" t="n"/>
    </row>
    <row r="23" ht="1.5" customHeight="1" s="157">
      <c r="A23" s="28" t="n"/>
      <c r="B23" s="28" t="n"/>
      <c r="C23" s="28" t="n"/>
      <c r="D23" s="28" t="n"/>
      <c r="E23" s="28" t="n"/>
      <c r="F23" s="29" t="n"/>
      <c r="G23" s="34" t="n"/>
      <c r="H23" s="28" t="n"/>
    </row>
    <row r="24" ht="1.5" customHeight="1" s="157">
      <c r="A24" s="28" t="n"/>
      <c r="B24" s="28" t="n"/>
      <c r="C24" s="28" t="n"/>
      <c r="D24" s="28" t="n"/>
      <c r="E24" s="28" t="n"/>
      <c r="F24" s="29" t="n"/>
      <c r="G24" s="34" t="n"/>
      <c r="H24" s="28" t="n"/>
    </row>
    <row r="25" ht="30" customHeight="1" s="157">
      <c r="A25" s="21" t="n"/>
      <c r="B25" s="22" t="inlineStr">
        <is>
          <t>Per Day</t>
        </is>
      </c>
      <c r="C25" s="23" t="n"/>
      <c r="D25" s="23" t="n"/>
      <c r="E25" s="23" t="n"/>
      <c r="F25" s="23" t="n"/>
      <c r="G25" s="24" t="n"/>
      <c r="H25" s="63" t="n"/>
    </row>
    <row r="26" ht="4.5" customHeight="1" s="157">
      <c r="A26" s="28" t="n"/>
      <c r="B26" s="38" t="n"/>
      <c r="C26" s="38" t="n"/>
      <c r="D26" s="38" t="n"/>
      <c r="E26" s="38" t="n"/>
      <c r="F26" s="39" t="n"/>
      <c r="G26" s="39" t="n"/>
      <c r="H26" s="28" t="n"/>
    </row>
    <row r="27" ht="19.5" customHeight="1" s="157">
      <c r="A27" s="28" t="n"/>
      <c r="B27" s="40" t="n"/>
      <c r="C27" s="41" t="n"/>
      <c r="D27" s="38" t="n"/>
      <c r="E27" s="38" t="n"/>
      <c r="F27" s="39" t="n"/>
      <c r="G27" s="39" t="n"/>
      <c r="H27" s="28" t="n"/>
    </row>
    <row r="28" ht="19.5" customHeight="1" s="157">
      <c r="A28" s="28" t="n"/>
      <c r="B28" s="30" t="n"/>
      <c r="C28" s="30" t="n"/>
      <c r="D28" s="28" t="n"/>
      <c r="E28" s="28" t="n"/>
      <c r="F28" s="42">
        <f t="array" ref="F28:F32">TRANSPOSE('Time sheet'!$C$10:$G$10)</f>
        <v/>
      </c>
      <c r="G28" s="43">
        <f t="array" ref="G28:G32">TRANSPOSE('Time sheet'!$C$17:$G$17)</f>
        <v/>
      </c>
      <c r="H28" s="28" t="n"/>
    </row>
    <row r="29" ht="19.5" customHeight="1" s="157">
      <c r="A29" s="28" t="n"/>
      <c r="B29" s="30" t="n"/>
      <c r="C29" s="30" t="n"/>
      <c r="D29" s="28" t="n"/>
      <c r="E29" s="28" t="n"/>
      <c r="F29" s="42" t="inlineStr">
        <is>
          <t>Tue</t>
        </is>
      </c>
      <c r="G29" s="43" t="n">
        <v>0</v>
      </c>
      <c r="H29" s="28" t="n"/>
    </row>
    <row r="30" ht="19.5" customHeight="1" s="157">
      <c r="A30" s="28" t="n"/>
      <c r="B30" s="30" t="n"/>
      <c r="C30" s="30" t="n"/>
      <c r="D30" s="33" t="n"/>
      <c r="E30" s="28" t="n"/>
      <c r="F30" s="42" t="inlineStr">
        <is>
          <t>Wed</t>
        </is>
      </c>
      <c r="G30" s="43" t="n">
        <v>0</v>
      </c>
      <c r="H30" s="28" t="n"/>
    </row>
    <row r="31" ht="19.5" customHeight="1" s="157">
      <c r="A31" s="28" t="n"/>
      <c r="B31" s="30" t="n"/>
      <c r="C31" s="30" t="n"/>
      <c r="D31" s="33" t="n"/>
      <c r="E31" s="28" t="n"/>
      <c r="F31" s="42" t="inlineStr">
        <is>
          <t>Thu</t>
        </is>
      </c>
      <c r="G31" s="43" t="n">
        <v>1</v>
      </c>
      <c r="H31" s="28" t="n"/>
    </row>
    <row r="32" ht="19.5" customHeight="1" s="157">
      <c r="A32" s="28" t="n"/>
      <c r="B32" s="30" t="n"/>
      <c r="C32" s="30" t="n"/>
      <c r="D32" s="33" t="n"/>
      <c r="E32" s="28" t="n"/>
      <c r="F32" s="42" t="inlineStr">
        <is>
          <t>Fri</t>
        </is>
      </c>
      <c r="G32" s="43" t="n">
        <v>1.5</v>
      </c>
      <c r="H32" s="28" t="n"/>
    </row>
    <row r="33" ht="19.5" customHeight="1" s="157">
      <c r="A33" s="28" t="n"/>
      <c r="B33" s="28" t="n"/>
      <c r="C33" s="28" t="n"/>
      <c r="D33" s="28" t="n"/>
      <c r="E33" s="28" t="n"/>
      <c r="F33" s="42" t="n"/>
      <c r="G33" s="43" t="n"/>
      <c r="H33" s="28" t="n"/>
    </row>
    <row r="34" ht="19.5" customHeight="1" s="157">
      <c r="A34" s="28" t="n"/>
      <c r="B34" s="28" t="n"/>
      <c r="C34" s="28" t="n"/>
      <c r="D34" s="28" t="n"/>
      <c r="E34" s="28" t="n"/>
      <c r="F34" s="34" t="n"/>
      <c r="G34" s="34" t="n"/>
      <c r="H34" s="28" t="n"/>
    </row>
    <row r="35" ht="19.5" customHeight="1" s="157">
      <c r="A35" s="28" t="n"/>
      <c r="B35" s="28" t="n"/>
      <c r="C35" s="28" t="n"/>
      <c r="D35" s="28" t="n"/>
      <c r="E35" s="28" t="n"/>
      <c r="F35" s="34" t="n"/>
      <c r="G35" s="34" t="n"/>
      <c r="H35" s="28" t="n"/>
    </row>
    <row r="36" ht="19.5" customHeight="1" s="157">
      <c r="A36" s="28" t="n"/>
      <c r="B36" s="28" t="n"/>
      <c r="C36" s="28" t="n"/>
      <c r="D36" s="28" t="n"/>
      <c r="E36" s="28" t="n"/>
      <c r="F36" s="34" t="n"/>
      <c r="G36" s="34" t="n"/>
      <c r="H36" s="28" t="n"/>
    </row>
    <row r="37" ht="19.5" customHeight="1" s="157">
      <c r="A37" s="28" t="n"/>
      <c r="B37" s="28" t="n"/>
      <c r="C37" s="28" t="n"/>
      <c r="D37" s="28" t="n"/>
      <c r="E37" s="28" t="n"/>
      <c r="F37" s="34" t="n"/>
      <c r="G37" s="34" t="n"/>
      <c r="H37" s="28" t="n"/>
    </row>
    <row r="38" ht="19.5" customHeight="1" s="157">
      <c r="A38" s="28" t="n"/>
      <c r="B38" s="28" t="n"/>
      <c r="C38" s="28" t="n"/>
      <c r="D38" s="28" t="n"/>
      <c r="E38" s="28" t="n"/>
      <c r="F38" s="34" t="n"/>
      <c r="G38" s="34" t="n"/>
      <c r="H38" s="28" t="n"/>
    </row>
  </sheetData>
  <mergeCells count="2">
    <mergeCell ref="B3:C3"/>
    <mergeCell ref="D3:G3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2.5"/>
  <cols>
    <col width="34" customWidth="1" style="157" min="1" max="1"/>
    <col width="10" customWidth="1" style="157" min="2" max="5"/>
    <col width="14" customWidth="1" style="157" min="6" max="6"/>
    <col width="24" customWidth="1" style="157" min="7" max="8"/>
  </cols>
  <sheetData>
    <row r="1" ht="24" customHeight="1" s="157">
      <c r="A1" s="201" t="inlineStr">
        <is>
          <t>Timesheet Control Panel</t>
        </is>
      </c>
    </row>
    <row r="3" ht="13" customHeight="1" s="157">
      <c r="A3" s="202" t="inlineStr">
        <is>
          <t>1) Customer + Contract</t>
        </is>
      </c>
      <c r="F3" s="202" t="inlineStr">
        <is>
          <t>Live Preview</t>
        </is>
      </c>
    </row>
    <row r="4" ht="75.5" customHeight="1" s="157">
      <c r="A4" s="75" t="inlineStr">
        <is>
          <t>Select existing customer</t>
        </is>
      </c>
      <c r="B4" s="76" t="inlineStr">
        <is>
          <t>Jiaman</t>
        </is>
      </c>
      <c r="C4" s="178" t="n"/>
      <c r="D4" s="178" t="inlineStr">
        <is>
          <t>Select an existing customer from the Customers sheet.</t>
        </is>
      </c>
      <c r="E4" s="178" t="n"/>
      <c r="F4" s="75" t="inlineStr">
        <is>
          <t>Customer</t>
        </is>
      </c>
      <c r="G4" s="203">
        <f>B7</f>
        <v/>
      </c>
    </row>
    <row r="5" ht="50.5" customHeight="1" s="157">
      <c r="A5" s="75" t="inlineStr">
        <is>
          <t>New customer name (optional)</t>
        </is>
      </c>
      <c r="B5" s="76" t="n"/>
      <c r="C5" s="178" t="n"/>
      <c r="D5" s="178" t="inlineStr">
        <is>
          <t>Or type a brand-new customer name here.</t>
        </is>
      </c>
      <c r="E5" s="178" t="n"/>
      <c r="F5" s="75" t="inlineStr">
        <is>
          <t>Title</t>
        </is>
      </c>
      <c r="G5" s="203">
        <f>YEAR(B12)&amp;" "&amp;TEXT(B12,"mmm")&amp;" Week "&amp;B13&amp;" Time Sheet"</f>
        <v/>
      </c>
    </row>
    <row r="6" ht="100.5" customHeight="1" s="157">
      <c r="A6" s="75" t="inlineStr">
        <is>
          <t>Company / project override</t>
        </is>
      </c>
      <c r="B6" s="76" t="inlineStr">
        <is>
          <t>BaoBunny Creatives</t>
        </is>
      </c>
      <c r="C6" s="178" t="n"/>
      <c r="D6" s="178" t="inlineStr">
        <is>
          <t>Optional company / project text that appears after the customer name.</t>
        </is>
      </c>
      <c r="E6" s="178" t="n"/>
      <c r="F6" s="75" t="inlineStr">
        <is>
          <t>Timeframe</t>
        </is>
      </c>
      <c r="G6" s="203">
        <f>"Week of "&amp;TEXT(B12,"m/d/yyyy")&amp;" - "&amp;TEXT(B12+4,"m/d/yyyy")</f>
        <v/>
      </c>
    </row>
    <row r="7" ht="39" customHeight="1" s="157">
      <c r="A7" s="75" t="inlineStr">
        <is>
          <t>Active customer display</t>
        </is>
      </c>
      <c r="B7" s="77">
        <f>IF(B5&lt;&gt;"",B5,B4)&amp;IF(B6&lt;&gt;""," - "&amp;B6,IFERROR(" - "&amp;VLOOKUP(B4,Customers!$A$2:$B$100,2,FALSE),""))</f>
        <v/>
      </c>
      <c r="C7" s="178" t="n"/>
      <c r="D7" s="178" t="n"/>
      <c r="E7" s="178" t="n"/>
      <c r="F7" s="178" t="n"/>
      <c r="G7" s="98" t="n"/>
      <c r="H7" s="98" t="n"/>
    </row>
    <row r="8" ht="88" customHeight="1" s="157">
      <c r="A8" s="75" t="inlineStr">
        <is>
          <t>Contract / spending note</t>
        </is>
      </c>
      <c r="B8" s="76" t="inlineStr">
        <is>
          <t>will apply for NIW when estimated successful rate over 80%</t>
        </is>
      </c>
      <c r="C8" s="178" t="n"/>
      <c r="D8" s="178" t="n"/>
      <c r="E8" s="178" t="n"/>
      <c r="F8" s="75" t="inlineStr">
        <is>
          <t>Hours</t>
        </is>
      </c>
      <c r="G8" s="204">
        <f>SUM(G22:G26)</f>
        <v/>
      </c>
    </row>
    <row r="9" ht="100.5" customHeight="1" s="157">
      <c r="A9" s="75" t="inlineStr">
        <is>
          <t>Footnote</t>
        </is>
      </c>
      <c r="B9" s="76" t="inlineStr">
        <is>
          <t>Date for Payment (every month 1st, $200 per mon, until balance is fully paid)</t>
        </is>
      </c>
      <c r="C9" s="178" t="n"/>
      <c r="D9" s="178" t="n"/>
      <c r="E9" s="178" t="n"/>
      <c r="F9" s="75" t="inlineStr">
        <is>
          <t>New balance</t>
        </is>
      </c>
      <c r="G9" s="204">
        <f>B17</f>
        <v/>
      </c>
    </row>
    <row r="10" ht="26" customHeight="1" s="157">
      <c r="A10" s="178" t="n"/>
      <c r="B10" s="178" t="n"/>
      <c r="C10" s="178" t="n"/>
      <c r="D10" s="178" t="n"/>
      <c r="E10" s="178" t="n"/>
      <c r="F10" s="75" t="inlineStr">
        <is>
          <t>Current balance</t>
        </is>
      </c>
      <c r="G10" s="204">
        <f>B18</f>
        <v/>
      </c>
    </row>
    <row r="11" ht="13" customHeight="1" s="157">
      <c r="A11" s="205" t="inlineStr">
        <is>
          <t>2) Week Setup</t>
        </is>
      </c>
      <c r="E11" s="178" t="n"/>
      <c r="F11" s="178" t="n"/>
      <c r="G11" s="178" t="n"/>
      <c r="H11" s="178" t="n"/>
    </row>
    <row r="12" ht="13" customHeight="1" s="157">
      <c r="A12" s="75" t="inlineStr">
        <is>
          <t>Week start date (Mon)</t>
        </is>
      </c>
      <c r="B12" s="79" t="n">
        <v>46150</v>
      </c>
      <c r="C12" s="178" t="n"/>
      <c r="D12" s="178" t="n"/>
      <c r="E12" s="178" t="n"/>
      <c r="F12" s="178" t="n"/>
      <c r="G12" s="178" t="n"/>
      <c r="H12" s="178" t="n"/>
    </row>
    <row r="13" ht="13" customHeight="1" s="157">
      <c r="A13" s="75" t="inlineStr">
        <is>
          <t>Week number</t>
        </is>
      </c>
      <c r="B13" s="76" t="n">
        <v>1</v>
      </c>
      <c r="C13" s="178" t="n"/>
      <c r="D13" s="178" t="n"/>
      <c r="E13" s="178" t="n"/>
      <c r="F13" s="178" t="n"/>
      <c r="G13" s="178" t="n"/>
      <c r="H13" s="178" t="n"/>
    </row>
    <row r="14" ht="63" customHeight="1" s="157">
      <c r="A14" s="75" t="inlineStr">
        <is>
          <t>Hourly rate</t>
        </is>
      </c>
      <c r="B14" s="80" t="n">
        <v>200</v>
      </c>
      <c r="C14" s="178" t="n"/>
      <c r="D14" s="178" t="inlineStr">
        <is>
          <t>You can overwrite the default rate if needed.</t>
        </is>
      </c>
      <c r="E14" s="178" t="n"/>
      <c r="F14" s="178" t="n"/>
      <c r="G14" s="178" t="n"/>
      <c r="H14" s="178" t="n"/>
    </row>
    <row r="15" ht="13" customHeight="1" s="157">
      <c r="A15" s="75" t="inlineStr">
        <is>
          <t>Prior balance</t>
        </is>
      </c>
      <c r="B15" s="80" t="n">
        <v>1240</v>
      </c>
      <c r="C15" s="178" t="n"/>
      <c r="D15" s="178" t="n"/>
      <c r="E15" s="178" t="n"/>
      <c r="F15" s="178" t="n"/>
      <c r="G15" s="178" t="n"/>
      <c r="H15" s="178" t="n"/>
    </row>
    <row r="16" ht="75.5" customHeight="1" s="157">
      <c r="A16" s="75" t="inlineStr">
        <is>
          <t>Max contract spend</t>
        </is>
      </c>
      <c r="B16" s="80" t="n">
        <v>10000</v>
      </c>
      <c r="C16" s="178" t="n"/>
      <c r="D16" s="178" t="inlineStr">
        <is>
          <t>You can overwrite the default contract max if needed.</t>
        </is>
      </c>
      <c r="E16" s="178" t="n"/>
      <c r="F16" s="178" t="n"/>
      <c r="G16" s="178" t="n"/>
      <c r="H16" s="178" t="n"/>
    </row>
    <row r="17" ht="13" customHeight="1" s="157">
      <c r="A17" s="75" t="inlineStr">
        <is>
          <t>New balance (this week)</t>
        </is>
      </c>
      <c r="B17" s="78">
        <f>SUM(G22:G26)*B14</f>
        <v/>
      </c>
      <c r="C17" s="178" t="n"/>
      <c r="D17" s="178" t="n"/>
      <c r="E17" s="178" t="n"/>
      <c r="F17" s="178" t="n"/>
      <c r="G17" s="178" t="n"/>
      <c r="H17" s="178" t="n"/>
    </row>
    <row r="18" ht="13" customHeight="1" s="157">
      <c r="A18" s="75" t="inlineStr">
        <is>
          <t>Current total balance</t>
        </is>
      </c>
      <c r="B18" s="78">
        <f>B15+B17</f>
        <v/>
      </c>
      <c r="C18" s="178" t="n"/>
      <c r="D18" s="178" t="n"/>
      <c r="E18" s="178" t="n"/>
      <c r="F18" s="178" t="n"/>
      <c r="G18" s="178" t="n"/>
      <c r="H18" s="178" t="n"/>
    </row>
    <row r="19" ht="13" customHeight="1" s="157">
      <c r="A19" s="75" t="inlineStr">
        <is>
          <t>Total expenses / payments</t>
        </is>
      </c>
      <c r="B19" s="78">
        <f>SUM(A32:A36)</f>
        <v/>
      </c>
      <c r="C19" s="178" t="n"/>
      <c r="D19" s="178" t="n"/>
      <c r="E19" s="178" t="n"/>
      <c r="F19" s="178" t="n"/>
      <c r="G19" s="178" t="n"/>
      <c r="H19" s="178" t="n"/>
    </row>
    <row r="21" ht="13" customHeight="1" s="157">
      <c r="A21" s="153" t="inlineStr">
        <is>
          <t>3) Activities</t>
        </is>
      </c>
      <c r="B21" s="154" t="inlineStr">
        <is>
          <t>Mon</t>
        </is>
      </c>
      <c r="C21" s="154" t="inlineStr">
        <is>
          <t>Tue</t>
        </is>
      </c>
      <c r="D21" s="154" t="inlineStr">
        <is>
          <t>Wed</t>
        </is>
      </c>
      <c r="E21" s="154" t="inlineStr">
        <is>
          <t>Thu</t>
        </is>
      </c>
      <c r="F21" s="154" t="inlineStr">
        <is>
          <t>Fri</t>
        </is>
      </c>
      <c r="G21" s="154" t="inlineStr">
        <is>
          <t>Total</t>
        </is>
      </c>
      <c r="H21" s="155" t="inlineStr">
        <is>
          <t>Output description</t>
        </is>
      </c>
    </row>
    <row r="22" ht="34" customHeight="1" s="157">
      <c r="A22" s="84" t="n"/>
      <c r="B22" s="85" t="n">
        <v>0</v>
      </c>
      <c r="C22" s="85" t="n">
        <v>0</v>
      </c>
      <c r="D22" s="85" t="n">
        <v>0</v>
      </c>
      <c r="E22" s="85" t="n">
        <v>0</v>
      </c>
      <c r="F22" s="85" t="n">
        <v>0</v>
      </c>
      <c r="G22" s="85">
        <f>SUM(B22:F22)</f>
        <v/>
      </c>
      <c r="H22" s="86" t="n"/>
    </row>
    <row r="23" ht="34" customHeight="1" s="157">
      <c r="A23" s="84" t="inlineStr">
        <is>
          <t>Book Chapter Setup For Wildfire (NIW)</t>
        </is>
      </c>
      <c r="B23" s="85" t="n">
        <v>0</v>
      </c>
      <c r="C23" s="85" t="n">
        <v>0</v>
      </c>
      <c r="D23" s="85" t="n">
        <v>0</v>
      </c>
      <c r="E23" s="85" t="n">
        <v>0</v>
      </c>
      <c r="F23" s="85" t="n">
        <v>0.5</v>
      </c>
      <c r="G23" s="85">
        <f>SUM(B23:F23)</f>
        <v/>
      </c>
      <c r="H23" s="86" t="inlineStr">
        <is>
          <t>Book Chapter for Wildfire, NIW</t>
        </is>
      </c>
    </row>
    <row r="24" ht="34" customHeight="1" s="157">
      <c r="A24" s="84" t="n"/>
      <c r="B24" s="85" t="n">
        <v>0</v>
      </c>
      <c r="C24" s="85" t="n">
        <v>0</v>
      </c>
      <c r="D24" s="85" t="n">
        <v>0</v>
      </c>
      <c r="E24" s="85" t="n">
        <v>0</v>
      </c>
      <c r="F24" s="85" t="n">
        <v>0</v>
      </c>
      <c r="G24" s="85">
        <f>SUM(B24:F24)</f>
        <v/>
      </c>
      <c r="H24" s="86" t="n"/>
    </row>
    <row r="25" ht="34" customHeight="1" s="157">
      <c r="A25" s="84" t="n"/>
      <c r="B25" s="85" t="n">
        <v>0</v>
      </c>
      <c r="C25" s="85" t="n">
        <v>0</v>
      </c>
      <c r="D25" s="85" t="n">
        <v>0</v>
      </c>
      <c r="E25" s="85" t="n">
        <v>0</v>
      </c>
      <c r="F25" s="85" t="n">
        <v>0</v>
      </c>
      <c r="G25" s="85">
        <f>SUM(B25:F25)</f>
        <v/>
      </c>
      <c r="H25" s="86" t="n"/>
    </row>
    <row r="26" ht="34" customHeight="1" s="157">
      <c r="A26" s="87" t="n"/>
      <c r="B26" s="88" t="n">
        <v>0</v>
      </c>
      <c r="C26" s="88" t="n">
        <v>0</v>
      </c>
      <c r="D26" s="88" t="n">
        <v>0</v>
      </c>
      <c r="E26" s="88" t="n">
        <v>0</v>
      </c>
      <c r="F26" s="88" t="n">
        <v>0</v>
      </c>
      <c r="G26" s="88">
        <f>SUM(B26:F26)</f>
        <v/>
      </c>
      <c r="H26" s="89" t="n"/>
    </row>
    <row r="30" ht="13" customHeight="1" s="157">
      <c r="A30" s="202" t="inlineStr">
        <is>
          <t>4) Payment Records</t>
        </is>
      </c>
    </row>
    <row r="31" ht="13" customHeight="1" s="157">
      <c r="A31" s="81" t="inlineStr">
        <is>
          <t>Amount</t>
        </is>
      </c>
      <c r="B31" s="82" t="inlineStr">
        <is>
          <t>Payment date</t>
        </is>
      </c>
      <c r="C31" s="83" t="inlineStr">
        <is>
          <t>Notes</t>
        </is>
      </c>
    </row>
    <row r="32">
      <c r="A32" s="90" t="n">
        <v>500</v>
      </c>
      <c r="B32" s="91" t="inlineStr">
        <is>
          <t>Jan-26-2026</t>
        </is>
      </c>
      <c r="C32" s="92" t="n"/>
      <c r="D32" t="inlineStr">
        <is>
          <t>Add up to 5 payment records here.</t>
        </is>
      </c>
    </row>
    <row r="33">
      <c r="A33" s="90" t="n">
        <v>600</v>
      </c>
      <c r="B33" s="91" t="inlineStr">
        <is>
          <t>Dec-10-2025</t>
        </is>
      </c>
      <c r="C33" s="92" t="n"/>
    </row>
    <row r="34">
      <c r="A34" s="90" t="n">
        <v>200</v>
      </c>
      <c r="B34" s="91" t="inlineStr">
        <is>
          <t>Mar-03-2026</t>
        </is>
      </c>
      <c r="C34" s="92" t="n"/>
    </row>
    <row r="35">
      <c r="A35" s="90" t="n">
        <v>200</v>
      </c>
      <c r="B35" s="91" t="inlineStr">
        <is>
          <t>Apr-01-2026</t>
        </is>
      </c>
      <c r="C35" s="92" t="n"/>
    </row>
    <row r="36">
      <c r="A36" s="93" t="n">
        <v>200</v>
      </c>
      <c r="B36" s="94" t="inlineStr">
        <is>
          <t>May-03-2026</t>
        </is>
      </c>
      <c r="C36" s="95" t="n"/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</sheetData>
  <mergeCells count="11">
    <mergeCell ref="A1:H1"/>
    <mergeCell ref="G4:H4"/>
    <mergeCell ref="G10:H10"/>
    <mergeCell ref="A3:D3"/>
    <mergeCell ref="G5:H5"/>
    <mergeCell ref="A30:C30"/>
    <mergeCell ref="G6:H6"/>
    <mergeCell ref="A11:D11"/>
    <mergeCell ref="G8:H8"/>
    <mergeCell ref="G9:H9"/>
    <mergeCell ref="F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2.5"/>
  <cols>
    <col width="18" customWidth="1" style="157" min="1" max="1"/>
    <col width="24" customWidth="1" style="157" min="2" max="2"/>
    <col width="18" customWidth="1" style="157" min="3" max="4"/>
    <col width="34" customWidth="1" style="157" min="5" max="5"/>
  </cols>
  <sheetData>
    <row r="1" ht="26" customHeight="1" s="157">
      <c r="A1" s="71" t="inlineStr">
        <is>
          <t>Customer Name</t>
        </is>
      </c>
      <c r="B1" s="71" t="inlineStr">
        <is>
          <t>Company / Project</t>
        </is>
      </c>
      <c r="C1" s="71" t="inlineStr">
        <is>
          <t>Default Hourly Rate</t>
        </is>
      </c>
      <c r="D1" s="71" t="inlineStr">
        <is>
          <t>Max Contract Spend</t>
        </is>
      </c>
      <c r="E1" s="71" t="inlineStr">
        <is>
          <t>Notes</t>
        </is>
      </c>
    </row>
    <row r="2" ht="25" customHeight="1" s="157">
      <c r="A2" s="178" t="inlineStr">
        <is>
          <t>Jiaman</t>
        </is>
      </c>
      <c r="B2" s="178" t="inlineStr">
        <is>
          <t>BaoBunny Creatives</t>
        </is>
      </c>
      <c r="C2" s="178" t="n">
        <v>200</v>
      </c>
      <c r="D2" s="178" t="n">
        <v>10000</v>
      </c>
      <c r="E2" s="178" t="inlineStr">
        <is>
          <t>will apply for NIW when estimated successful rate over 80%</t>
        </is>
      </c>
    </row>
    <row r="3">
      <c r="A3" s="178" t="n"/>
      <c r="B3" s="178" t="n"/>
      <c r="C3" s="178" t="n"/>
      <c r="D3" s="178" t="n"/>
      <c r="E3" s="178" t="n"/>
    </row>
    <row r="4" ht="50" customHeight="1" s="157">
      <c r="A4" s="178" t="inlineStr">
        <is>
          <t>How to use</t>
        </is>
      </c>
      <c r="B4" s="178" t="inlineStr">
        <is>
          <t>Add one customer per row below the example. Then select the customer on the Control Panel sheet.</t>
        </is>
      </c>
      <c r="C4" s="178" t="n"/>
      <c r="D4" s="178" t="n"/>
      <c r="E4" s="178" t="n"/>
    </row>
    <row r="5">
      <c r="A5" s="178" t="n"/>
      <c r="B5" s="178" t="n"/>
      <c r="C5" s="178" t="n"/>
      <c r="D5" s="178" t="n"/>
      <c r="E5" s="178" t="n"/>
    </row>
    <row r="6">
      <c r="A6" s="178" t="n"/>
      <c r="B6" s="178" t="n"/>
      <c r="C6" s="178" t="n"/>
      <c r="D6" s="178" t="n"/>
      <c r="E6" s="178" t="n"/>
    </row>
    <row r="7">
      <c r="A7" s="178" t="n"/>
      <c r="B7" s="178" t="n"/>
      <c r="C7" s="178" t="n"/>
      <c r="D7" s="178" t="n"/>
      <c r="E7" s="178" t="n"/>
    </row>
    <row r="8">
      <c r="A8" s="178" t="n"/>
      <c r="B8" s="178" t="n"/>
      <c r="C8" s="178" t="n"/>
      <c r="D8" s="178" t="n"/>
      <c r="E8" s="178" t="n"/>
    </row>
    <row r="9">
      <c r="A9" s="178" t="n"/>
      <c r="B9" s="178" t="n"/>
      <c r="C9" s="178" t="n"/>
      <c r="D9" s="178" t="n"/>
      <c r="E9" s="178" t="n"/>
    </row>
    <row r="10">
      <c r="A10" s="178" t="n"/>
      <c r="B10" s="178" t="n"/>
      <c r="C10" s="178" t="n"/>
      <c r="D10" s="178" t="n"/>
      <c r="E10" s="178" t="n"/>
    </row>
    <row r="11">
      <c r="A11" s="178" t="n"/>
      <c r="B11" s="178" t="n"/>
      <c r="C11" s="178" t="n"/>
      <c r="D11" s="178" t="n"/>
      <c r="E11" s="178" t="n"/>
    </row>
    <row r="12">
      <c r="A12" s="178" t="n"/>
      <c r="B12" s="178" t="n"/>
      <c r="C12" s="178" t="n"/>
      <c r="D12" s="178" t="n"/>
      <c r="E12" s="178" t="n"/>
    </row>
    <row r="13">
      <c r="A13" s="178" t="n"/>
      <c r="B13" s="178" t="n"/>
      <c r="C13" s="178" t="n"/>
      <c r="D13" s="178" t="n"/>
      <c r="E13" s="178" t="n"/>
    </row>
    <row r="14">
      <c r="A14" s="178" t="n"/>
      <c r="B14" s="178" t="n"/>
      <c r="C14" s="178" t="n"/>
      <c r="D14" s="178" t="n"/>
      <c r="E14" s="178" t="n"/>
    </row>
    <row r="15">
      <c r="A15" s="178" t="n"/>
      <c r="B15" s="178" t="n"/>
      <c r="C15" s="178" t="n"/>
      <c r="D15" s="178" t="n"/>
      <c r="E15" s="178" t="n"/>
    </row>
    <row r="16">
      <c r="A16" s="178" t="n"/>
      <c r="B16" s="178" t="n"/>
      <c r="C16" s="178" t="n"/>
      <c r="D16" s="178" t="n"/>
      <c r="E16" s="178" t="n"/>
    </row>
    <row r="17">
      <c r="A17" s="178" t="n"/>
      <c r="B17" s="178" t="n"/>
      <c r="C17" s="178" t="n"/>
      <c r="D17" s="178" t="n"/>
      <c r="E17" s="178" t="n"/>
    </row>
    <row r="18">
      <c r="A18" s="178" t="n"/>
      <c r="B18" s="178" t="n"/>
      <c r="C18" s="178" t="n"/>
      <c r="D18" s="178" t="n"/>
      <c r="E18" s="178" t="n"/>
    </row>
    <row r="19">
      <c r="A19" s="178" t="n"/>
      <c r="B19" s="178" t="n"/>
      <c r="C19" s="178" t="n"/>
      <c r="D19" s="178" t="n"/>
      <c r="E19" s="178" t="n"/>
    </row>
    <row r="20">
      <c r="A20" s="178" t="n"/>
      <c r="B20" s="178" t="n"/>
      <c r="C20" s="178" t="n"/>
      <c r="D20" s="178" t="n"/>
      <c r="E20" s="178" t="n"/>
    </row>
    <row r="21">
      <c r="A21" t="inlineStr">
        <is>
          <t>Abinay</t>
        </is>
      </c>
      <c r="B21" t="inlineStr">
        <is>
          <t>BaoBunny Creatives</t>
        </is>
      </c>
      <c r="C21" t="n">
        <v>200</v>
      </c>
      <c r="D21" t="n">
        <v>10000</v>
      </c>
      <c r="E21" t="inlineStr">
        <is>
          <t>will apply for NIW when estimated successful rate over 80%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2.5"/>
  <cols>
    <col width="4" customWidth="1" style="157" min="1" max="1"/>
    <col width="32" customWidth="1" style="157" min="2" max="2"/>
    <col width="12" customWidth="1" style="157" min="3" max="7"/>
    <col width="16" customWidth="1" style="157" min="8" max="8"/>
  </cols>
  <sheetData>
    <row r="1" ht="8" customHeight="1" s="157">
      <c r="A1" s="206" t="n"/>
    </row>
    <row r="2">
      <c r="B2" s="207">
        <f>'Control Panel'!B7</f>
        <v/>
      </c>
    </row>
    <row r="3"/>
    <row r="5" ht="32" customHeight="1" s="157">
      <c r="B5" s="208">
        <f>YEAR('Control Panel'!B12)&amp;" "&amp;TEXT('Control Panel'!B12,"mmm")&amp;" Week "&amp;'Control Panel'!B13&amp;" Time Sheet"</f>
        <v/>
      </c>
    </row>
    <row r="7" ht="15.5" customHeight="1" s="157">
      <c r="B7" s="132" t="inlineStr">
        <is>
          <t>Timeframe:</t>
        </is>
      </c>
      <c r="E7" s="209">
        <f>"Week of "&amp;TEXT('Control Panel'!B12,"m/d/yyyy")&amp;" - "&amp;TEXT('Control Panel'!B12+4,"m/d/yyyy")</f>
        <v/>
      </c>
    </row>
    <row r="8">
      <c r="B8" s="133" t="n"/>
      <c r="C8" s="133" t="n"/>
      <c r="D8" s="133" t="n"/>
      <c r="E8" s="133" t="n"/>
      <c r="F8" s="133" t="n"/>
      <c r="G8" s="133" t="n"/>
      <c r="H8" s="133" t="n"/>
    </row>
    <row r="10" ht="13" customHeight="1" s="157">
      <c r="B10" s="135" t="n"/>
      <c r="C10" s="135" t="inlineStr">
        <is>
          <t>Mon</t>
        </is>
      </c>
      <c r="D10" s="135" t="inlineStr">
        <is>
          <t>Tue</t>
        </is>
      </c>
      <c r="E10" s="135" t="inlineStr">
        <is>
          <t>Wed</t>
        </is>
      </c>
      <c r="F10" s="135" t="inlineStr">
        <is>
          <t>Thu</t>
        </is>
      </c>
      <c r="G10" s="135" t="inlineStr">
        <is>
          <t>Fri</t>
        </is>
      </c>
      <c r="H10" s="135" t="inlineStr">
        <is>
          <t>Totals</t>
        </is>
      </c>
    </row>
    <row r="11" ht="13" customHeight="1" s="157">
      <c r="C11" s="136">
        <f>'Control Panel'!B12</f>
        <v/>
      </c>
      <c r="D11" s="136">
        <f>'Control Panel'!B12+1</f>
        <v/>
      </c>
      <c r="E11" s="136">
        <f>'Control Panel'!B12+2</f>
        <v/>
      </c>
      <c r="F11" s="136">
        <f>'Control Panel'!B12+3</f>
        <v/>
      </c>
      <c r="G11" s="136">
        <f>'Control Panel'!B12+4</f>
        <v/>
      </c>
    </row>
    <row r="12" ht="28" customHeight="1" s="157">
      <c r="B12" s="137">
        <f>IF('Control Panel'!A22="","",'Control Panel'!A22)</f>
        <v/>
      </c>
      <c r="C12" s="139">
        <f>IF($B12="","",'Control Panel'!B22)</f>
        <v/>
      </c>
      <c r="D12" s="139">
        <f>IF($B12="","",'Control Panel'!C22)</f>
        <v/>
      </c>
      <c r="E12" s="139">
        <f>IF($B12="","",'Control Panel'!D22)</f>
        <v/>
      </c>
      <c r="F12" s="139">
        <f>IF($B12="","",'Control Panel'!E22)</f>
        <v/>
      </c>
      <c r="G12" s="139">
        <f>IF($B12="","",'Control Panel'!F22)</f>
        <v/>
      </c>
      <c r="H12" s="140">
        <f>IF($B12="","",SUM(C12:G12))</f>
        <v/>
      </c>
    </row>
    <row r="13" ht="28" customHeight="1" s="157">
      <c r="B13" s="138">
        <f>IF('Control Panel'!A23="","",'Control Panel'!A23)</f>
        <v/>
      </c>
      <c r="C13" s="141">
        <f>IF($B13="","",'Control Panel'!B23)</f>
        <v/>
      </c>
      <c r="D13" s="141">
        <f>IF($B13="","",'Control Panel'!C23)</f>
        <v/>
      </c>
      <c r="E13" s="141">
        <f>IF($B13="","",'Control Panel'!D23)</f>
        <v/>
      </c>
      <c r="F13" s="141">
        <f>IF($B13="","",'Control Panel'!E23)</f>
        <v/>
      </c>
      <c r="G13" s="141">
        <f>IF($B13="","",'Control Panel'!F23)</f>
        <v/>
      </c>
      <c r="H13" s="142">
        <f>IF($B13="","",SUM(C13:G13))</f>
        <v/>
      </c>
    </row>
    <row r="14" ht="28" customHeight="1" s="157">
      <c r="B14" s="137">
        <f>IF('Control Panel'!A24="","",'Control Panel'!A24)</f>
        <v/>
      </c>
      <c r="C14" s="139">
        <f>IF($B14="","",'Control Panel'!B24)</f>
        <v/>
      </c>
      <c r="D14" s="139">
        <f>IF($B14="","",'Control Panel'!C24)</f>
        <v/>
      </c>
      <c r="E14" s="139">
        <f>IF($B14="","",'Control Panel'!D24)</f>
        <v/>
      </c>
      <c r="F14" s="139">
        <f>IF($B14="","",'Control Panel'!E24)</f>
        <v/>
      </c>
      <c r="G14" s="139">
        <f>IF($B14="","",'Control Panel'!F24)</f>
        <v/>
      </c>
      <c r="H14" s="140">
        <f>IF($B14="","",SUM(C14:G14))</f>
        <v/>
      </c>
    </row>
    <row r="15" ht="28" customHeight="1" s="157">
      <c r="B15" s="138">
        <f>IF('Control Panel'!A25="","",'Control Panel'!A25)</f>
        <v/>
      </c>
      <c r="C15" s="141">
        <f>IF($B15="","",'Control Panel'!B25)</f>
        <v/>
      </c>
      <c r="D15" s="141">
        <f>IF($B15="","",'Control Panel'!C25)</f>
        <v/>
      </c>
      <c r="E15" s="141">
        <f>IF($B15="","",'Control Panel'!D25)</f>
        <v/>
      </c>
      <c r="F15" s="141">
        <f>IF($B15="","",'Control Panel'!E25)</f>
        <v/>
      </c>
      <c r="G15" s="141">
        <f>IF($B15="","",'Control Panel'!F25)</f>
        <v/>
      </c>
      <c r="H15" s="142">
        <f>IF($B15="","",SUM(C15:G15))</f>
        <v/>
      </c>
    </row>
    <row r="16" ht="28" customHeight="1" s="157">
      <c r="B16" s="137">
        <f>IF('Control Panel'!A26="","",'Control Panel'!A26)</f>
        <v/>
      </c>
      <c r="C16" s="139">
        <f>IF($B16="","",'Control Panel'!B26)</f>
        <v/>
      </c>
      <c r="D16" s="139">
        <f>IF($B16="","",'Control Panel'!C26)</f>
        <v/>
      </c>
      <c r="E16" s="139">
        <f>IF($B16="","",'Control Panel'!D26)</f>
        <v/>
      </c>
      <c r="F16" s="139">
        <f>IF($B16="","",'Control Panel'!E26)</f>
        <v/>
      </c>
      <c r="G16" s="139">
        <f>IF($B16="","",'Control Panel'!F26)</f>
        <v/>
      </c>
      <c r="H16" s="140">
        <f>IF($B16="","",SUM(C16:G16))</f>
        <v/>
      </c>
    </row>
    <row r="17" ht="13" customHeight="1" s="157">
      <c r="B17" s="134" t="inlineStr">
        <is>
          <t>Total hrs</t>
        </is>
      </c>
      <c r="C17" s="143">
        <f>SUM(C12:C16)</f>
        <v/>
      </c>
      <c r="D17" s="143">
        <f>SUM(D12:D16)</f>
        <v/>
      </c>
      <c r="E17" s="143">
        <f>SUM(E12:E16)</f>
        <v/>
      </c>
      <c r="F17" s="143">
        <f>SUM(F12:F16)</f>
        <v/>
      </c>
      <c r="G17" s="143">
        <f>SUM(G12:G16)</f>
        <v/>
      </c>
      <c r="H17" s="143">
        <f>SUM(C17:G17)</f>
        <v/>
      </c>
    </row>
    <row r="18" ht="13" customHeight="1" s="157">
      <c r="F18" s="210" t="inlineStr">
        <is>
          <t>Billing rate (hourly)</t>
        </is>
      </c>
      <c r="H18" s="144">
        <f>'Control Panel'!B14</f>
        <v/>
      </c>
    </row>
    <row r="19" ht="25" customHeight="1" s="157">
      <c r="E19" s="211" t="inlineStr">
        <is>
          <t>Week Balance:</t>
        </is>
      </c>
      <c r="H19" s="145">
        <f>'Control Panel'!B17</f>
        <v/>
      </c>
    </row>
    <row r="20" ht="28" customHeight="1" s="157">
      <c r="E20" s="212">
        <f>"(Current Total Balance: $"&amp;TEXT('Control Panel'!B15,"#,##0.00")&amp;" PRIOR + $"&amp;TEXT('Control Panel'!B17,"#,##0.00")&amp;" NEW = $"&amp;TEXT('Control Panel'!B18,"#,##0.00")&amp;")"</f>
        <v/>
      </c>
    </row>
    <row r="22" ht="13" customHeight="1" s="157">
      <c r="B22" s="146" t="inlineStr">
        <is>
          <t>Output</t>
        </is>
      </c>
    </row>
    <row r="23" ht="13" customHeight="1" s="157">
      <c r="B23" s="174" t="inlineStr">
        <is>
          <t>Activity</t>
        </is>
      </c>
      <c r="C23" s="174" t="inlineStr">
        <is>
          <t>Output description</t>
        </is>
      </c>
      <c r="D23" s="174" t="n"/>
      <c r="E23" s="174" t="n"/>
      <c r="F23" s="174" t="n"/>
      <c r="G23" s="174" t="n"/>
      <c r="H23" s="174" t="n"/>
    </row>
    <row r="24" ht="24" customHeight="1" s="157">
      <c r="B24" s="147">
        <f>IF('Control Panel'!A22="","",'Control Panel'!A22)</f>
        <v/>
      </c>
      <c r="C24" s="179">
        <f>IF('Control Panel'!A22="","",'Control Panel'!H22)</f>
        <v/>
      </c>
    </row>
    <row r="25" ht="24" customHeight="1" s="157">
      <c r="B25" s="148">
        <f>IF('Control Panel'!A23="","",'Control Panel'!A23)</f>
        <v/>
      </c>
      <c r="C25" s="177">
        <f>IF('Control Panel'!A23="","",'Control Panel'!H23)</f>
        <v/>
      </c>
    </row>
    <row r="26" ht="24" customHeight="1" s="157">
      <c r="B26" s="147">
        <f>IF('Control Panel'!A24="","",'Control Panel'!A24)</f>
        <v/>
      </c>
      <c r="C26" s="179">
        <f>IF('Control Panel'!A24="","",'Control Panel'!H24)</f>
        <v/>
      </c>
    </row>
    <row r="27" ht="24" customHeight="1" s="157">
      <c r="B27" s="148">
        <f>IF('Control Panel'!A25="","",'Control Panel'!A25)</f>
        <v/>
      </c>
      <c r="C27" s="177">
        <f>IF('Control Panel'!A25="","",'Control Panel'!H25)</f>
        <v/>
      </c>
    </row>
    <row r="28" ht="24" customHeight="1" s="157">
      <c r="B28" s="147">
        <f>IF('Control Panel'!A26="","",'Control Panel'!A26)</f>
        <v/>
      </c>
      <c r="C28" s="179">
        <f>IF('Control Panel'!A26="","",'Control Panel'!H26)</f>
        <v/>
      </c>
    </row>
    <row r="30" ht="13" customHeight="1" s="157">
      <c r="B30" s="146" t="inlineStr">
        <is>
          <t>Payment Record</t>
        </is>
      </c>
      <c r="C30" s="174" t="inlineStr">
        <is>
          <t>Amount</t>
        </is>
      </c>
      <c r="D30" s="174" t="inlineStr">
        <is>
          <t>Date</t>
        </is>
      </c>
      <c r="E30" s="174" t="inlineStr">
        <is>
          <t>Notes</t>
        </is>
      </c>
    </row>
    <row r="31">
      <c r="B31" s="149" t="n"/>
      <c r="C31" s="151">
        <f>IF('Control Panel'!A32="","",'Control Panel'!A32)</f>
        <v/>
      </c>
      <c r="D31" s="152">
        <f>IF('Control Panel'!A32="","",'Control Panel'!B32)</f>
        <v/>
      </c>
      <c r="E31" s="150">
        <f>IF('Control Panel'!A32="","",'Control Panel'!C32)</f>
        <v/>
      </c>
    </row>
    <row r="32">
      <c r="B32" s="149" t="n"/>
      <c r="C32" s="151">
        <f>IF('Control Panel'!A33="","",'Control Panel'!A33)</f>
        <v/>
      </c>
      <c r="D32" s="152">
        <f>IF('Control Panel'!A33="","",'Control Panel'!B33)</f>
        <v/>
      </c>
      <c r="E32" s="150">
        <f>IF('Control Panel'!A33="","",'Control Panel'!C33)</f>
        <v/>
      </c>
    </row>
    <row r="33">
      <c r="B33" s="149" t="n"/>
      <c r="C33" s="151">
        <f>IF('Control Panel'!A34="","",'Control Panel'!A34)</f>
        <v/>
      </c>
      <c r="D33" s="152">
        <f>IF('Control Panel'!A34="","",'Control Panel'!B34)</f>
        <v/>
      </c>
      <c r="E33" s="150">
        <f>IF('Control Panel'!A34="","",'Control Panel'!C34)</f>
        <v/>
      </c>
    </row>
    <row r="34">
      <c r="B34" s="149" t="n"/>
      <c r="C34" s="151">
        <f>IF('Control Panel'!A35="","",'Control Panel'!A35)</f>
        <v/>
      </c>
      <c r="D34" s="152">
        <f>IF('Control Panel'!A35="","",'Control Panel'!B35)</f>
        <v/>
      </c>
      <c r="E34" s="150">
        <f>IF('Control Panel'!A35="","",'Control Panel'!C35)</f>
        <v/>
      </c>
    </row>
    <row r="35">
      <c r="B35" s="149" t="n"/>
      <c r="C35" s="151">
        <f>IF('Control Panel'!A36="","",'Control Panel'!A36)</f>
        <v/>
      </c>
      <c r="D35" s="152">
        <f>IF('Control Panel'!A36="","",'Control Panel'!B36)</f>
        <v/>
      </c>
      <c r="E35" s="150">
        <f>IF('Control Panel'!A36="","",'Control Panel'!C36)</f>
        <v/>
      </c>
    </row>
    <row r="37" ht="13" customHeight="1" s="157">
      <c r="B37" s="73" t="inlineStr">
        <is>
          <t>Total expenses</t>
        </is>
      </c>
      <c r="C37" s="74">
        <f>'Control Panel'!B19</f>
        <v/>
      </c>
      <c r="D37" s="73" t="n"/>
      <c r="E37" s="74" t="inlineStr">
        <is>
          <t>Max contract spend</t>
        </is>
      </c>
      <c r="F37" s="74">
        <f>'Control Panel'!B16</f>
        <v/>
      </c>
    </row>
    <row r="38">
      <c r="B38" s="178" t="inlineStr">
        <is>
          <t>Contract note</t>
        </is>
      </c>
      <c r="C38" s="213">
        <f>'Control Panel'!B8</f>
        <v/>
      </c>
    </row>
    <row r="39">
      <c r="B39" s="178" t="inlineStr">
        <is>
          <t>Footnote</t>
        </is>
      </c>
      <c r="C39" s="213">
        <f>'Control Panel'!B9</f>
        <v/>
      </c>
    </row>
  </sheetData>
  <mergeCells count="14">
    <mergeCell ref="A1:H1"/>
    <mergeCell ref="C25:H25"/>
    <mergeCell ref="C38:H38"/>
    <mergeCell ref="C24:H24"/>
    <mergeCell ref="E19:G19"/>
    <mergeCell ref="C28:H28"/>
    <mergeCell ref="C27:H27"/>
    <mergeCell ref="B2:F3"/>
    <mergeCell ref="F18:G18"/>
    <mergeCell ref="E20:H20"/>
    <mergeCell ref="C39:H39"/>
    <mergeCell ref="C26:H26"/>
    <mergeCell ref="B5:H5"/>
    <mergeCell ref="E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2026-04-15T21:09:39Z</dcterms:created>
  <dcterms:modified xmlns:dcterms="http://purl.org/dc/terms/" xmlns:xsi="http://www.w3.org/2001/XMLSchema-instance" xsi:type="dcterms:W3CDTF">2026-05-09T02:32:07Z</dcterms:modified>
  <cp:lastModifiedBy>Wang, Ning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