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sf-my.sharepoint.com/personal/7969257201_nsf_gov/Documents/@NSF_Learning/[SYSTEM]BB/BB_System_Paper/Tool 1. Timesheet Recorder/timesheet_local_app/output/"/>
    </mc:Choice>
  </mc:AlternateContent>
  <xr:revisionPtr revIDLastSave="1" documentId="11_97B64A343B146B5D33A3B2D6DA63E1FD40B311E0" xr6:coauthVersionLast="47" xr6:coauthVersionMax="47" xr10:uidLastSave="{25DE64F8-0E20-42DC-9F6F-62A6C1D9A5BD}"/>
  <bookViews>
    <workbookView xWindow="-110" yWindow="-110" windowWidth="19420" windowHeight="10300" xr2:uid="{00000000-000D-0000-FFFF-FFFF00000000}"/>
  </bookViews>
  <sheets>
    <sheet name="Time sheet" sheetId="1" r:id="rId1"/>
    <sheet name="Stats" sheetId="2" r:id="rId2"/>
    <sheet name="Control Panel" sheetId="3" r:id="rId3"/>
    <sheet name="Customers" sheetId="4" r:id="rId4"/>
    <sheet name="Client Timesheet" sheetId="5" r:id="rId5"/>
  </sheet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5" l="1"/>
  <c r="C38" i="5"/>
  <c r="F37" i="5"/>
  <c r="E35" i="5"/>
  <c r="D35" i="5"/>
  <c r="C35" i="5"/>
  <c r="E34" i="5"/>
  <c r="D34" i="5"/>
  <c r="C34" i="5"/>
  <c r="E33" i="5"/>
  <c r="D33" i="5"/>
  <c r="C33" i="5"/>
  <c r="E32" i="5"/>
  <c r="D32" i="5"/>
  <c r="C32" i="5"/>
  <c r="E31" i="5"/>
  <c r="D31" i="5"/>
  <c r="C31" i="5"/>
  <c r="C28" i="5"/>
  <c r="B28" i="5"/>
  <c r="C27" i="5"/>
  <c r="B27" i="5"/>
  <c r="C26" i="5"/>
  <c r="B26" i="5"/>
  <c r="C25" i="5"/>
  <c r="B25" i="5"/>
  <c r="C24" i="5"/>
  <c r="B24" i="5"/>
  <c r="H18" i="5"/>
  <c r="H16" i="5"/>
  <c r="B16" i="5"/>
  <c r="G16" i="5" s="1"/>
  <c r="B15" i="5"/>
  <c r="E15" i="5" s="1"/>
  <c r="B14" i="5"/>
  <c r="H14" i="5" s="1"/>
  <c r="G13" i="5"/>
  <c r="F13" i="5"/>
  <c r="D13" i="5"/>
  <c r="B13" i="5"/>
  <c r="E13" i="5" s="1"/>
  <c r="C12" i="5"/>
  <c r="B12" i="5"/>
  <c r="F12" i="5" s="1"/>
  <c r="G11" i="5"/>
  <c r="F11" i="5"/>
  <c r="E11" i="5"/>
  <c r="D11" i="5"/>
  <c r="C11" i="5"/>
  <c r="E7" i="5"/>
  <c r="B5" i="5"/>
  <c r="G26" i="3"/>
  <c r="G25" i="3"/>
  <c r="G24" i="3"/>
  <c r="G23" i="3"/>
  <c r="G22" i="3"/>
  <c r="G8" i="3" s="1"/>
  <c r="B19" i="3"/>
  <c r="C37" i="5" s="1"/>
  <c r="B7" i="3"/>
  <c r="B2" i="1" s="1"/>
  <c r="G6" i="3"/>
  <c r="G5" i="3"/>
  <c r="B37" i="1"/>
  <c r="C36" i="1"/>
  <c r="E34" i="1"/>
  <c r="D34" i="1"/>
  <c r="C34" i="1"/>
  <c r="E33" i="1"/>
  <c r="D33" i="1"/>
  <c r="C33" i="1"/>
  <c r="E32" i="1"/>
  <c r="D32" i="1"/>
  <c r="C32" i="1"/>
  <c r="E31" i="1"/>
  <c r="D31" i="1"/>
  <c r="C31" i="1"/>
  <c r="E30" i="1"/>
  <c r="D30" i="1"/>
  <c r="C30" i="1"/>
  <c r="C27" i="1"/>
  <c r="B27" i="1"/>
  <c r="C26" i="1"/>
  <c r="B26" i="1"/>
  <c r="C25" i="1"/>
  <c r="B25" i="1"/>
  <c r="C24" i="1"/>
  <c r="B24" i="1"/>
  <c r="C23" i="1"/>
  <c r="B23" i="1"/>
  <c r="H18" i="1"/>
  <c r="G16" i="1"/>
  <c r="F16" i="1"/>
  <c r="E16" i="1"/>
  <c r="D16" i="1"/>
  <c r="C16" i="1"/>
  <c r="B16" i="1"/>
  <c r="G15" i="1"/>
  <c r="F15" i="1"/>
  <c r="E15" i="1"/>
  <c r="D15" i="1"/>
  <c r="C15" i="1"/>
  <c r="B15" i="1"/>
  <c r="G14" i="1"/>
  <c r="F14" i="1"/>
  <c r="E14" i="1"/>
  <c r="D14" i="1"/>
  <c r="C14" i="1"/>
  <c r="B14" i="1"/>
  <c r="G13" i="1"/>
  <c r="G17" i="1" s="1"/>
  <c r="F13" i="1"/>
  <c r="E13" i="1"/>
  <c r="D13" i="1"/>
  <c r="C13" i="1"/>
  <c r="B13" i="1"/>
  <c r="G12" i="1"/>
  <c r="F12" i="1"/>
  <c r="E12" i="1"/>
  <c r="D12" i="1"/>
  <c r="C12" i="1"/>
  <c r="C17" i="1" s="1"/>
  <c r="B12" i="1"/>
  <c r="F8" i="2" s="1" a="1"/>
  <c r="C11" i="1"/>
  <c r="D11" i="1" s="1"/>
  <c r="E7" i="1"/>
  <c r="B5" i="1"/>
  <c r="H16" i="1" l="1"/>
  <c r="H14" i="1"/>
  <c r="B17" i="3"/>
  <c r="E20" i="1" s="1"/>
  <c r="D12" i="5"/>
  <c r="C15" i="5"/>
  <c r="H15" i="1"/>
  <c r="E12" i="5"/>
  <c r="D15" i="5"/>
  <c r="D17" i="1"/>
  <c r="G28" i="2" s="1" a="1"/>
  <c r="B36" i="1"/>
  <c r="F15" i="5"/>
  <c r="G15" i="5"/>
  <c r="C13" i="5"/>
  <c r="H13" i="5" s="1"/>
  <c r="H15" i="5"/>
  <c r="F17" i="1"/>
  <c r="G4" i="3"/>
  <c r="E17" i="1"/>
  <c r="F16" i="5"/>
  <c r="F12" i="2"/>
  <c r="F11" i="2"/>
  <c r="F10" i="2"/>
  <c r="F9" i="2"/>
  <c r="F8" i="2"/>
  <c r="B18" i="3"/>
  <c r="G10" i="3" s="1"/>
  <c r="H19" i="5"/>
  <c r="E11" i="1"/>
  <c r="D10" i="1"/>
  <c r="H13" i="1"/>
  <c r="G12" i="5"/>
  <c r="E14" i="5"/>
  <c r="C16" i="5"/>
  <c r="C10" i="1"/>
  <c r="C14" i="5"/>
  <c r="C17" i="5" s="1"/>
  <c r="F14" i="5"/>
  <c r="D16" i="5"/>
  <c r="B2" i="5"/>
  <c r="D14" i="5"/>
  <c r="D17" i="5" s="1"/>
  <c r="H12" i="1"/>
  <c r="G14" i="5"/>
  <c r="E16" i="5"/>
  <c r="G32" i="2" l="1"/>
  <c r="G30" i="2"/>
  <c r="G31" i="2"/>
  <c r="G29" i="2"/>
  <c r="G28" i="2"/>
  <c r="G9" i="3"/>
  <c r="E20" i="5"/>
  <c r="F17" i="5"/>
  <c r="G17" i="5"/>
  <c r="G8" i="2" a="1"/>
  <c r="H17" i="1"/>
  <c r="F19" i="1" s="1"/>
  <c r="F11" i="1"/>
  <c r="E10" i="1"/>
  <c r="E17" i="5"/>
  <c r="H17" i="5" s="1"/>
  <c r="H12" i="5"/>
  <c r="G12" i="2" l="1"/>
  <c r="G11" i="2"/>
  <c r="G10" i="2"/>
  <c r="G9" i="2"/>
  <c r="G8" i="2"/>
  <c r="G11" i="1"/>
  <c r="G10" i="1" s="1"/>
  <c r="F10" i="1"/>
  <c r="F28" i="2" l="1" a="1"/>
  <c r="F30" i="2" s="1"/>
  <c r="F31" i="2" l="1"/>
  <c r="F32" i="2"/>
  <c r="F28" i="2"/>
  <c r="F29" i="2"/>
</calcChain>
</file>

<file path=xl/sharedStrings.xml><?xml version="1.0" encoding="utf-8"?>
<sst xmlns="http://schemas.openxmlformats.org/spreadsheetml/2006/main" count="104" uniqueCount="76">
  <si>
    <t>Timeframe:</t>
  </si>
  <si>
    <t>Totals</t>
  </si>
  <si>
    <t>Total hrs</t>
  </si>
  <si>
    <t>Billing rate (hourly)</t>
  </si>
  <si>
    <t>Week Balance:</t>
  </si>
  <si>
    <t>Output</t>
  </si>
  <si>
    <t>Activity</t>
  </si>
  <si>
    <t>Output description</t>
  </si>
  <si>
    <t>Payment Record</t>
  </si>
  <si>
    <t>Amount</t>
  </si>
  <si>
    <t>Date</t>
  </si>
  <si>
    <t>Notes</t>
  </si>
  <si>
    <t>Utilization</t>
  </si>
  <si>
    <t>See breakdowns of your week by project or day.
Everything in this tab updates from the Time sheet tab and Control Panel.</t>
  </si>
  <si>
    <t>By Project</t>
  </si>
  <si>
    <t>Per Day</t>
  </si>
  <si>
    <t>Timesheet Control Panel</t>
  </si>
  <si>
    <t>1) Customer + Contract</t>
  </si>
  <si>
    <t>Live Preview</t>
  </si>
  <si>
    <t>Select existing customer</t>
  </si>
  <si>
    <t>Abinay</t>
  </si>
  <si>
    <t>Select an existing customer from the Customers sheet.</t>
  </si>
  <si>
    <t>Customer</t>
  </si>
  <si>
    <t>New customer name (optional)</t>
  </si>
  <si>
    <t>Or type a brand-new customer name here.</t>
  </si>
  <si>
    <t>Title</t>
  </si>
  <si>
    <t>Company / project override</t>
  </si>
  <si>
    <t>BaoBunny Creatives</t>
  </si>
  <si>
    <t>Optional company / project text that appears after the customer name.</t>
  </si>
  <si>
    <t>Timeframe</t>
  </si>
  <si>
    <t>Active customer display</t>
  </si>
  <si>
    <t>Contract / spending note</t>
  </si>
  <si>
    <t>will apply for NIW when estimated successful rate over 80%</t>
  </si>
  <si>
    <t>Hours</t>
  </si>
  <si>
    <t>Footnote</t>
  </si>
  <si>
    <t>Date for Payment (every month 1st, $200 per mon, until balance is fully paid)</t>
  </si>
  <si>
    <t>New balance</t>
  </si>
  <si>
    <t>Current balance</t>
  </si>
  <si>
    <t>2) Week Setup</t>
  </si>
  <si>
    <t>Week start date (Mon)</t>
  </si>
  <si>
    <t>Week number</t>
  </si>
  <si>
    <t>Hourly rate</t>
  </si>
  <si>
    <t>You can overwrite the default rate if needed.</t>
  </si>
  <si>
    <t>Prior balance</t>
  </si>
  <si>
    <t>Max contract spend</t>
  </si>
  <si>
    <t>You can overwrite the default contract max if needed.</t>
  </si>
  <si>
    <t>New balance (this week)</t>
  </si>
  <si>
    <t>Current total balance</t>
  </si>
  <si>
    <t>Total expenses / payments</t>
  </si>
  <si>
    <t>3) Activities</t>
  </si>
  <si>
    <t>Mon</t>
  </si>
  <si>
    <t>Tue</t>
  </si>
  <si>
    <t>Wed</t>
  </si>
  <si>
    <t>Thu</t>
  </si>
  <si>
    <t>Fri</t>
  </si>
  <si>
    <t>Total</t>
  </si>
  <si>
    <t>Sunday Apr 19, Apr Follow-Up</t>
  </si>
  <si>
    <t>Follow-up progress, re-definie the strategy for NIW, Future Career, Recent Priorities, and EB1A</t>
  </si>
  <si>
    <t>Generating HWER Complex Systems Modeling Scholar Fellowship (award)</t>
  </si>
  <si>
    <t>The fellowship would support Jiaman's grants efforts, train her grants writing, and network</t>
  </si>
  <si>
    <t>4) Payment Records</t>
  </si>
  <si>
    <t>Payment date</t>
  </si>
  <si>
    <t>Jan-26-2026</t>
  </si>
  <si>
    <t>Add up to 5 payment records here.</t>
  </si>
  <si>
    <t>Dec-10-2025</t>
  </si>
  <si>
    <t>Mar-03-2026</t>
  </si>
  <si>
    <t>Apr-01-2026</t>
  </si>
  <si>
    <t>Customer Name</t>
  </si>
  <si>
    <t>Company / Project</t>
  </si>
  <si>
    <t>Default Hourly Rate</t>
  </si>
  <si>
    <t>Max Contract Spend</t>
  </si>
  <si>
    <t>Jiaman</t>
  </si>
  <si>
    <t>How to use</t>
  </si>
  <si>
    <t>Add one customer per row below the example. Then select the customer on the Control Panel sheet.</t>
  </si>
  <si>
    <t>Total expenses</t>
  </si>
  <si>
    <t>Contract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</si>
</sst>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164" formatCode="mmm&quot; &quot;d"/>
    <numFmt numFmtId="165" formatCode="&quot;$&quot;#,##0"/>
    <numFmt numFmtId="166" formatCode="\$#,##0.00"/>
    <numFmt numFmtId="167" formatCode="mmm\ d"/>
    <numFmt numFmtId="168" formatCode="mmm\-d\-yyyy"/>
    <numFmt numFmtId="169" formatCode="&quot;Apr &quot;d"/>
    <numFmt numFmtId="170" formatCode="&quot;$&quot;#,##0.00"/>
  </numFmts>
  <fonts count="44">
    <font>
      <sz val="10"/>
      <color rgb="FF000000"/>
      <name val="Arial"/>
    </font>
    <font>
      <sz val="10"/>
      <name val="Roboto"/>
    </font>
    <font>
      <sz val="10"/>
      <color rgb="FF6D64E8"/>
      <name val="Roboto"/>
    </font>
    <font>
      <sz val="20"/>
      <color rgb="FF000000"/>
      <name val="Lexend"/>
    </font>
    <font>
      <sz val="10"/>
      <color rgb="FF666666"/>
      <name val="Roboto"/>
    </font>
    <font>
      <b/>
      <sz val="34"/>
      <color rgb="FF283592"/>
      <name val="Roboto"/>
    </font>
    <font>
      <sz val="13"/>
      <color rgb="FF434343"/>
      <name val="Roboto"/>
    </font>
    <font>
      <b/>
      <sz val="12"/>
      <color rgb="FF434343"/>
      <name val="Roboto"/>
    </font>
    <font>
      <sz val="10"/>
      <color rgb="FF000000"/>
      <name val="Roboto"/>
    </font>
    <font>
      <sz val="10"/>
      <color rgb="FFB7B7B7"/>
      <name val="Roboto"/>
    </font>
    <font>
      <sz val="10"/>
      <color rgb="FF2A3990"/>
      <name val="Roboto"/>
    </font>
    <font>
      <sz val="14"/>
      <color rgb="FF2A3990"/>
      <name val="Roboto"/>
    </font>
    <font>
      <b/>
      <sz val="12"/>
      <color rgb="FF2A3990"/>
      <name val="Roboto"/>
    </font>
    <font>
      <b/>
      <sz val="10"/>
      <color rgb="FF666666"/>
      <name val="Roboto"/>
    </font>
    <font>
      <sz val="10"/>
      <color rgb="FF980000"/>
      <name val="Roboto"/>
    </font>
    <font>
      <b/>
      <sz val="10"/>
      <color rgb="FF2A3990"/>
      <name val="Roboto"/>
    </font>
    <font>
      <sz val="16"/>
      <color rgb="FFEB3F79"/>
      <name val="Roboto"/>
    </font>
    <font>
      <b/>
      <sz val="20"/>
      <color rgb="FFE01B84"/>
      <name val="Roboto"/>
    </font>
    <font>
      <b/>
      <sz val="10"/>
      <name val="Roboto"/>
    </font>
    <font>
      <sz val="10"/>
      <name val="Comfortaa"/>
    </font>
    <font>
      <b/>
      <sz val="26"/>
      <color rgb="FF283592"/>
      <name val="Roboto"/>
    </font>
    <font>
      <i/>
      <sz val="10"/>
      <color rgb="FF999999"/>
      <name val="Roboto"/>
    </font>
    <font>
      <sz val="34"/>
      <color rgb="FF283592"/>
      <name val="Roboto"/>
    </font>
    <font>
      <sz val="14"/>
      <color rgb="FF283592"/>
      <name val="Roboto"/>
    </font>
    <font>
      <sz val="10"/>
      <color rgb="FF434343"/>
      <name val="Roboto"/>
    </font>
    <font>
      <b/>
      <sz val="10"/>
      <color rgb="FF434343"/>
      <name val="Roboto"/>
    </font>
    <font>
      <sz val="10"/>
      <color rgb="FFFF0000"/>
      <name val="Roboto"/>
    </font>
    <font>
      <sz val="10"/>
      <color theme="10"/>
      <name val="Arial"/>
    </font>
    <font>
      <sz val="9"/>
      <color rgb="FFEB3F79"/>
      <name val="Roboto"/>
    </font>
    <font>
      <b/>
      <sz val="10"/>
      <color rgb="FFFFFFFF"/>
      <name val="Arial"/>
    </font>
    <font>
      <b/>
      <sz val="16"/>
      <color rgb="FFFFFFFF"/>
      <name val="Arial"/>
    </font>
    <font>
      <b/>
      <sz val="10"/>
      <color rgb="FF2F3E9E"/>
      <name val="Arial"/>
    </font>
    <font>
      <b/>
      <sz val="10"/>
      <color rgb="FF444444"/>
      <name val="Arial"/>
    </font>
    <font>
      <b/>
      <sz val="10"/>
      <color rgb="FF2F3E9E"/>
      <name val="Roboto"/>
    </font>
    <font>
      <sz val="18"/>
      <color rgb="FF000000"/>
      <name val="Arial"/>
    </font>
    <font>
      <b/>
      <sz val="30"/>
      <color rgb="FF2F3E9E"/>
      <name val="Arial"/>
    </font>
    <font>
      <b/>
      <sz val="12"/>
      <color rgb="FF444444"/>
      <name val="Arial"/>
    </font>
    <font>
      <sz val="11"/>
      <color rgb="FF000000"/>
      <name val="Arial"/>
    </font>
    <font>
      <sz val="10"/>
      <color rgb="FF666666"/>
      <name val="Arial"/>
    </font>
    <font>
      <b/>
      <sz val="10"/>
      <color rgb="FF666666"/>
      <name val="Arial"/>
    </font>
    <font>
      <sz val="10"/>
      <color rgb="FFFF4F86"/>
      <name val="Arial"/>
    </font>
    <font>
      <b/>
      <sz val="20"/>
      <color rgb="FFE31C86"/>
      <name val="Arial"/>
    </font>
    <font>
      <sz val="10"/>
      <color rgb="FFB22020"/>
      <name val="Arial"/>
    </font>
    <font>
      <b/>
      <sz val="10"/>
      <color rgb="FF000000"/>
      <name val="Arial"/>
    </font>
  </fonts>
  <fills count="12">
    <fill>
      <patternFill patternType="none"/>
    </fill>
    <fill>
      <patternFill patternType="gray125"/>
    </fill>
    <fill>
      <patternFill patternType="solid">
        <fgColor rgb="FF283592"/>
      </patternFill>
    </fill>
    <fill>
      <patternFill patternType="solid">
        <fgColor rgb="FFF3F3F3"/>
      </patternFill>
    </fill>
    <fill>
      <patternFill patternType="solid">
        <fgColor rgb="FFFFFFFF"/>
      </patternFill>
    </fill>
    <fill>
      <patternFill patternType="solid">
        <fgColor rgb="FF2F3E9E"/>
      </patternFill>
    </fill>
    <fill>
      <patternFill patternType="solid">
        <fgColor rgb="FFDDE6F8"/>
      </patternFill>
    </fill>
    <fill>
      <patternFill patternType="solid">
        <fgColor rgb="FFFFF7D6"/>
      </patternFill>
    </fill>
    <fill>
      <patternFill patternType="solid">
        <fgColor rgb="FFF3F5FB"/>
      </patternFill>
    </fill>
    <fill>
      <patternFill patternType="solid">
        <fgColor rgb="FFFFFFFF"/>
      </patternFill>
    </fill>
    <fill>
      <patternFill patternType="solid">
        <fgColor rgb="FFD9E5EA"/>
      </patternFill>
    </fill>
    <fill>
      <patternFill patternType="solid">
        <fgColor rgb="FFF7F7F7"/>
      </patternFill>
    </fill>
  </fills>
  <borders count="37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CCCCCC"/>
      </bottom>
      <diagonal/>
    </border>
    <border>
      <left/>
      <right/>
      <top style="thin">
        <color rgb="FFFFFFFF"/>
      </top>
      <bottom style="thin">
        <color rgb="FFCCCCCC"/>
      </bottom>
      <diagonal/>
    </border>
    <border>
      <left/>
      <right style="thin">
        <color rgb="FFFFFFFF"/>
      </right>
      <top style="thin">
        <color rgb="FFFFFFFF"/>
      </top>
      <bottom style="thin">
        <color rgb="FFCCCCCC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36"/>
    <xf numFmtId="0" fontId="27" fillId="0" borderId="36"/>
  </cellStyleXfs>
  <cellXfs count="186">
    <xf numFmtId="0" fontId="0" fillId="0" borderId="0" xfId="0" applyBorder="1"/>
    <xf numFmtId="0" fontId="1" fillId="2" borderId="0" xfId="0" applyFont="1" applyFill="1" applyBorder="1"/>
    <xf numFmtId="14" fontId="1" fillId="2" borderId="0" xfId="0" applyNumberFormat="1" applyFont="1" applyFill="1" applyBorder="1"/>
    <xf numFmtId="0" fontId="1" fillId="0" borderId="0" xfId="0" applyFont="1" applyBorder="1"/>
    <xf numFmtId="0" fontId="2" fillId="0" borderId="0" xfId="0" applyFont="1" applyBorder="1"/>
    <xf numFmtId="0" fontId="4" fillId="0" borderId="0" xfId="0" applyFont="1" applyBorder="1"/>
    <xf numFmtId="0" fontId="6" fillId="0" borderId="0" xfId="0" applyFont="1" applyBorder="1"/>
    <xf numFmtId="0" fontId="6" fillId="0" borderId="0" xfId="0" applyFont="1" applyBorder="1" applyAlignment="1">
      <alignment vertical="center"/>
    </xf>
    <xf numFmtId="0" fontId="4" fillId="0" borderId="1" xfId="0" applyFont="1" applyBorder="1"/>
    <xf numFmtId="0" fontId="9" fillId="0" borderId="0" xfId="0" applyFont="1" applyBorder="1"/>
    <xf numFmtId="164" fontId="10" fillId="0" borderId="0" xfId="0" applyNumberFormat="1" applyFont="1" applyBorder="1" applyAlignment="1">
      <alignment horizontal="right" vertical="top"/>
    </xf>
    <xf numFmtId="164" fontId="11" fillId="0" borderId="0" xfId="0" applyNumberFormat="1" applyFont="1" applyBorder="1" applyAlignment="1">
      <alignment horizontal="right" vertical="top"/>
    </xf>
    <xf numFmtId="0" fontId="12" fillId="0" borderId="0" xfId="0" applyFont="1" applyBorder="1" applyAlignment="1">
      <alignment horizontal="right" vertical="top"/>
    </xf>
    <xf numFmtId="0" fontId="4" fillId="0" borderId="0" xfId="0" applyFont="1" applyBorder="1" applyAlignment="1">
      <alignment vertical="center"/>
    </xf>
    <xf numFmtId="0" fontId="13" fillId="0" borderId="0" xfId="0" applyFont="1" applyBorder="1" applyAlignment="1">
      <alignment horizontal="left" vertical="center"/>
    </xf>
    <xf numFmtId="0" fontId="15" fillId="0" borderId="2" xfId="0" applyFont="1" applyBorder="1"/>
    <xf numFmtId="2" fontId="15" fillId="0" borderId="2" xfId="0" applyNumberFormat="1" applyFont="1" applyBorder="1" applyAlignment="1">
      <alignment horizontal="right"/>
    </xf>
    <xf numFmtId="0" fontId="16" fillId="0" borderId="0" xfId="0" applyFont="1" applyBorder="1" applyAlignment="1">
      <alignment vertical="center"/>
    </xf>
    <xf numFmtId="0" fontId="16" fillId="0" borderId="0" xfId="0" applyFont="1" applyBorder="1" applyAlignment="1">
      <alignment horizontal="left" vertical="center"/>
    </xf>
    <xf numFmtId="0" fontId="18" fillId="0" borderId="0" xfId="0" applyFont="1" applyBorder="1"/>
    <xf numFmtId="0" fontId="22" fillId="0" borderId="3" xfId="0" applyFont="1" applyBorder="1"/>
    <xf numFmtId="0" fontId="23" fillId="0" borderId="3" xfId="0" applyFont="1" applyBorder="1" applyAlignment="1">
      <alignment vertical="center"/>
    </xf>
    <xf numFmtId="0" fontId="23" fillId="0" borderId="7" xfId="0" applyFont="1" applyBorder="1" applyAlignment="1">
      <alignment vertical="center"/>
    </xf>
    <xf numFmtId="0" fontId="23" fillId="0" borderId="8" xfId="0" applyFont="1" applyBorder="1" applyAlignment="1">
      <alignment vertical="center"/>
    </xf>
    <xf numFmtId="0" fontId="23" fillId="0" borderId="9" xfId="0" applyFont="1" applyBorder="1" applyAlignment="1">
      <alignment vertical="center"/>
    </xf>
    <xf numFmtId="0" fontId="24" fillId="0" borderId="3" xfId="0" applyFont="1" applyBorder="1" applyAlignment="1">
      <alignment vertical="center"/>
    </xf>
    <xf numFmtId="0" fontId="24" fillId="0" borderId="10" xfId="0" applyFont="1" applyBorder="1" applyAlignment="1">
      <alignment vertical="center"/>
    </xf>
    <xf numFmtId="0" fontId="25" fillId="0" borderId="10" xfId="0" applyFont="1" applyBorder="1" applyAlignment="1">
      <alignment vertical="center"/>
    </xf>
    <xf numFmtId="0" fontId="24" fillId="0" borderId="3" xfId="0" applyFont="1" applyBorder="1"/>
    <xf numFmtId="0" fontId="25" fillId="0" borderId="3" xfId="0" applyFont="1" applyBorder="1" applyAlignment="1">
      <alignment horizontal="left" vertical="center"/>
    </xf>
    <xf numFmtId="0" fontId="24" fillId="0" borderId="0" xfId="0" applyFont="1" applyBorder="1"/>
    <xf numFmtId="2" fontId="24" fillId="0" borderId="3" xfId="0" applyNumberFormat="1" applyFont="1" applyBorder="1" applyAlignment="1">
      <alignment horizontal="left" vertical="center"/>
    </xf>
    <xf numFmtId="0" fontId="24" fillId="0" borderId="3" xfId="0" applyFont="1" applyBorder="1" applyAlignment="1">
      <alignment horizontal="left"/>
    </xf>
    <xf numFmtId="0" fontId="25" fillId="0" borderId="3" xfId="0" applyFont="1" applyBorder="1"/>
    <xf numFmtId="0" fontId="24" fillId="0" borderId="3" xfId="0" applyFont="1" applyBorder="1" applyAlignment="1">
      <alignment horizontal="left" vertical="center"/>
    </xf>
    <xf numFmtId="0" fontId="25" fillId="0" borderId="0" xfId="0" applyFont="1" applyBorder="1"/>
    <xf numFmtId="14" fontId="24" fillId="0" borderId="3" xfId="0" applyNumberFormat="1" applyFont="1" applyBorder="1"/>
    <xf numFmtId="165" fontId="24" fillId="0" borderId="3" xfId="0" applyNumberFormat="1" applyFont="1" applyBorder="1"/>
    <xf numFmtId="0" fontId="24" fillId="0" borderId="10" xfId="0" applyFont="1" applyBorder="1"/>
    <xf numFmtId="0" fontId="24" fillId="0" borderId="10" xfId="0" applyFont="1" applyBorder="1" applyAlignment="1">
      <alignment horizontal="left" vertical="center"/>
    </xf>
    <xf numFmtId="0" fontId="25" fillId="0" borderId="10" xfId="0" applyFont="1" applyBorder="1" applyAlignment="1">
      <alignment horizontal="left"/>
    </xf>
    <xf numFmtId="0" fontId="24" fillId="0" borderId="10" xfId="0" applyFont="1" applyBorder="1" applyAlignment="1">
      <alignment horizontal="left"/>
    </xf>
    <xf numFmtId="0" fontId="25" fillId="0" borderId="3" xfId="0" applyFont="1" applyBorder="1" applyAlignment="1">
      <alignment horizontal="left"/>
    </xf>
    <xf numFmtId="2" fontId="24" fillId="0" borderId="3" xfId="0" applyNumberFormat="1" applyFont="1" applyBorder="1" applyAlignment="1">
      <alignment horizontal="left"/>
    </xf>
    <xf numFmtId="0" fontId="13" fillId="0" borderId="0" xfId="0" applyFont="1" applyBorder="1" applyAlignment="1">
      <alignment horizontal="left" vertical="center" wrapText="1"/>
    </xf>
    <xf numFmtId="2" fontId="26" fillId="0" borderId="0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vertic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horizontal="right"/>
    </xf>
    <xf numFmtId="0" fontId="2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right"/>
    </xf>
    <xf numFmtId="0" fontId="8" fillId="0" borderId="0" xfId="0" applyFont="1" applyBorder="1" applyAlignment="1">
      <alignment horizontal="right"/>
    </xf>
    <xf numFmtId="2" fontId="4" fillId="0" borderId="0" xfId="0" applyNumberFormat="1" applyFont="1" applyBorder="1" applyAlignment="1">
      <alignment horizontal="right" vertical="center"/>
    </xf>
    <xf numFmtId="2" fontId="13" fillId="0" borderId="0" xfId="0" applyNumberFormat="1" applyFont="1" applyBorder="1" applyAlignment="1">
      <alignment horizontal="right" vertical="center"/>
    </xf>
    <xf numFmtId="2" fontId="1" fillId="0" borderId="0" xfId="0" applyNumberFormat="1" applyFont="1" applyBorder="1" applyAlignment="1">
      <alignment horizontal="right" vertical="center"/>
    </xf>
    <xf numFmtId="0" fontId="10" fillId="0" borderId="0" xfId="0" applyFont="1" applyBorder="1"/>
    <xf numFmtId="2" fontId="10" fillId="0" borderId="2" xfId="0" applyNumberFormat="1" applyFont="1" applyBorder="1" applyAlignment="1">
      <alignment horizontal="right"/>
    </xf>
    <xf numFmtId="0" fontId="1" fillId="0" borderId="3" xfId="0" applyFont="1" applyBorder="1"/>
    <xf numFmtId="0" fontId="1" fillId="0" borderId="3" xfId="0" applyFont="1" applyBorder="1" applyAlignment="1">
      <alignment horizontal="left" vertical="center"/>
    </xf>
    <xf numFmtId="0" fontId="1" fillId="0" borderId="0" xfId="0" applyFont="1" applyBorder="1" applyAlignment="1">
      <alignment vertical="center" wrapText="1"/>
    </xf>
    <xf numFmtId="0" fontId="27" fillId="0" borderId="0" xfId="1" applyBorder="1" applyAlignment="1">
      <alignment vertical="center"/>
    </xf>
    <xf numFmtId="0" fontId="28" fillId="0" borderId="0" xfId="0" applyFont="1" applyBorder="1" applyAlignment="1">
      <alignment vertical="center" wrapText="1"/>
    </xf>
    <xf numFmtId="0" fontId="18" fillId="0" borderId="0" xfId="0" applyFont="1" applyBorder="1" applyAlignment="1">
      <alignment vertical="center" wrapText="1"/>
    </xf>
    <xf numFmtId="6" fontId="1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wrapText="1"/>
    </xf>
    <xf numFmtId="0" fontId="29" fillId="5" borderId="0" xfId="0" applyFont="1" applyFill="1" applyBorder="1" applyAlignment="1">
      <alignment horizontal="center" wrapText="1"/>
    </xf>
    <xf numFmtId="0" fontId="31" fillId="6" borderId="0" xfId="0" applyFont="1" applyFill="1" applyBorder="1"/>
    <xf numFmtId="0" fontId="31" fillId="8" borderId="0" xfId="0" applyFont="1" applyFill="1" applyBorder="1"/>
    <xf numFmtId="166" fontId="31" fillId="8" borderId="0" xfId="0" applyNumberFormat="1" applyFont="1" applyFill="1" applyBorder="1"/>
    <xf numFmtId="0" fontId="32" fillId="0" borderId="0" xfId="0" applyFont="1" applyBorder="1" applyAlignment="1">
      <alignment wrapText="1"/>
    </xf>
    <xf numFmtId="0" fontId="0" fillId="7" borderId="11" xfId="0" applyFill="1" applyBorder="1" applyAlignment="1">
      <alignment wrapText="1"/>
    </xf>
    <xf numFmtId="0" fontId="31" fillId="8" borderId="0" xfId="0" applyFont="1" applyFill="1" applyBorder="1" applyAlignment="1">
      <alignment wrapText="1"/>
    </xf>
    <xf numFmtId="166" fontId="31" fillId="8" borderId="0" xfId="0" applyNumberFormat="1" applyFont="1" applyFill="1" applyBorder="1" applyAlignment="1">
      <alignment wrapText="1"/>
    </xf>
    <xf numFmtId="14" fontId="0" fillId="7" borderId="11" xfId="0" applyNumberFormat="1" applyFill="1" applyBorder="1" applyAlignment="1">
      <alignment wrapText="1"/>
    </xf>
    <xf numFmtId="166" fontId="0" fillId="7" borderId="11" xfId="0" applyNumberFormat="1" applyFill="1" applyBorder="1" applyAlignment="1">
      <alignment wrapText="1"/>
    </xf>
    <xf numFmtId="0" fontId="31" fillId="6" borderId="12" xfId="0" applyFont="1" applyFill="1" applyBorder="1"/>
    <xf numFmtId="0" fontId="31" fillId="6" borderId="13" xfId="0" applyFont="1" applyFill="1" applyBorder="1"/>
    <xf numFmtId="0" fontId="31" fillId="6" borderId="14" xfId="0" applyFont="1" applyFill="1" applyBorder="1"/>
    <xf numFmtId="2" fontId="0" fillId="0" borderId="15" xfId="0" applyNumberFormat="1" applyBorder="1" applyAlignment="1">
      <alignment wrapText="1"/>
    </xf>
    <xf numFmtId="2" fontId="0" fillId="0" borderId="16" xfId="0" applyNumberFormat="1" applyBorder="1" applyAlignment="1">
      <alignment wrapText="1"/>
    </xf>
    <xf numFmtId="0" fontId="0" fillId="0" borderId="17" xfId="0" applyBorder="1" applyAlignment="1">
      <alignment wrapText="1"/>
    </xf>
    <xf numFmtId="2" fontId="0" fillId="0" borderId="18" xfId="0" applyNumberFormat="1" applyBorder="1" applyAlignment="1">
      <alignment wrapText="1"/>
    </xf>
    <xf numFmtId="2" fontId="0" fillId="0" borderId="19" xfId="0" applyNumberFormat="1" applyBorder="1" applyAlignment="1">
      <alignment wrapText="1"/>
    </xf>
    <xf numFmtId="0" fontId="0" fillId="0" borderId="20" xfId="0" applyBorder="1" applyAlignment="1">
      <alignment wrapText="1"/>
    </xf>
    <xf numFmtId="166" fontId="0" fillId="0" borderId="15" xfId="0" applyNumberFormat="1" applyBorder="1"/>
    <xf numFmtId="0" fontId="0" fillId="0" borderId="16" xfId="0" applyBorder="1"/>
    <xf numFmtId="0" fontId="0" fillId="0" borderId="17" xfId="0" applyBorder="1"/>
    <xf numFmtId="166" fontId="0" fillId="0" borderId="18" xfId="0" applyNumberFormat="1" applyBorder="1"/>
    <xf numFmtId="0" fontId="0" fillId="0" borderId="19" xfId="0" applyBorder="1"/>
    <xf numFmtId="0" fontId="0" fillId="0" borderId="20" xfId="0" applyBorder="1"/>
    <xf numFmtId="167" fontId="12" fillId="0" borderId="0" xfId="0" applyNumberFormat="1" applyFont="1" applyBorder="1" applyAlignment="1">
      <alignment horizontal="right" vertical="top"/>
    </xf>
    <xf numFmtId="166" fontId="13" fillId="0" borderId="0" xfId="0" applyNumberFormat="1" applyFont="1" applyBorder="1" applyAlignment="1">
      <alignment horizontal="right"/>
    </xf>
    <xf numFmtId="0" fontId="0" fillId="0" borderId="0" xfId="0" applyBorder="1" applyAlignment="1">
      <alignment horizontal="left" wrapText="1"/>
    </xf>
    <xf numFmtId="0" fontId="33" fillId="6" borderId="21" xfId="0" applyFont="1" applyFill="1" applyBorder="1" applyAlignment="1">
      <alignment horizontal="left" vertical="center" wrapText="1"/>
    </xf>
    <xf numFmtId="0" fontId="13" fillId="4" borderId="24" xfId="0" applyFont="1" applyFill="1" applyBorder="1" applyAlignment="1">
      <alignment horizontal="left" vertical="center" wrapText="1"/>
    </xf>
    <xf numFmtId="0" fontId="8" fillId="3" borderId="24" xfId="0" applyFont="1" applyFill="1" applyBorder="1" applyAlignment="1">
      <alignment horizontal="right" vertical="center" wrapText="1"/>
    </xf>
    <xf numFmtId="0" fontId="1" fillId="0" borderId="24" xfId="0" applyFont="1" applyBorder="1" applyAlignment="1">
      <alignment wrapText="1"/>
    </xf>
    <xf numFmtId="0" fontId="1" fillId="0" borderId="25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8" fillId="0" borderId="24" xfId="0" applyFont="1" applyBorder="1" applyAlignment="1">
      <alignment vertical="center" wrapText="1"/>
    </xf>
    <xf numFmtId="6" fontId="1" fillId="0" borderId="25" xfId="0" applyNumberFormat="1" applyFont="1" applyBorder="1" applyAlignment="1">
      <alignment horizontal="center" vertical="center" wrapText="1"/>
    </xf>
    <xf numFmtId="0" fontId="27" fillId="0" borderId="25" xfId="0" applyFont="1" applyBorder="1" applyAlignment="1">
      <alignment vertical="center" wrapText="1"/>
    </xf>
    <xf numFmtId="0" fontId="18" fillId="0" borderId="27" xfId="0" applyFont="1" applyBorder="1" applyAlignment="1">
      <alignment vertical="center" wrapText="1"/>
    </xf>
    <xf numFmtId="6" fontId="1" fillId="0" borderId="28" xfId="0" applyNumberFormat="1" applyFont="1" applyBorder="1" applyAlignment="1">
      <alignment horizontal="center" vertical="center" wrapText="1"/>
    </xf>
    <xf numFmtId="0" fontId="1" fillId="0" borderId="28" xfId="0" applyFont="1" applyBorder="1" applyAlignment="1">
      <alignment vertical="center" wrapText="1"/>
    </xf>
    <xf numFmtId="0" fontId="27" fillId="0" borderId="28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6" fontId="33" fillId="6" borderId="22" xfId="0" applyNumberFormat="1" applyFont="1" applyFill="1" applyBorder="1" applyAlignment="1">
      <alignment horizontal="center" vertical="center"/>
    </xf>
    <xf numFmtId="0" fontId="33" fillId="6" borderId="22" xfId="0" applyFont="1" applyFill="1" applyBorder="1" applyAlignment="1">
      <alignment vertical="center" wrapText="1"/>
    </xf>
    <xf numFmtId="0" fontId="31" fillId="6" borderId="23" xfId="0" applyFont="1" applyFill="1" applyBorder="1" applyAlignment="1">
      <alignment vertical="center"/>
    </xf>
    <xf numFmtId="0" fontId="18" fillId="0" borderId="24" xfId="0" applyFont="1" applyBorder="1" applyAlignment="1">
      <alignment wrapText="1"/>
    </xf>
    <xf numFmtId="166" fontId="1" fillId="0" borderId="25" xfId="0" applyNumberFormat="1" applyFont="1" applyBorder="1" applyAlignment="1">
      <alignment vertical="center"/>
    </xf>
    <xf numFmtId="168" fontId="1" fillId="0" borderId="25" xfId="0" applyNumberFormat="1" applyFont="1" applyBorder="1" applyAlignment="1">
      <alignment vertical="center" wrapText="1"/>
    </xf>
    <xf numFmtId="0" fontId="27" fillId="0" borderId="26" xfId="0" applyFont="1" applyBorder="1" applyAlignment="1">
      <alignment vertical="center"/>
    </xf>
    <xf numFmtId="6" fontId="1" fillId="0" borderId="24" xfId="0" applyNumberFormat="1" applyFont="1" applyBorder="1" applyAlignment="1">
      <alignment vertical="center"/>
    </xf>
    <xf numFmtId="166" fontId="0" fillId="0" borderId="25" xfId="0" applyNumberFormat="1" applyBorder="1"/>
    <xf numFmtId="0" fontId="19" fillId="0" borderId="24" xfId="0" applyFont="1" applyBorder="1"/>
    <xf numFmtId="168" fontId="1" fillId="0" borderId="25" xfId="0" applyNumberFormat="1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24" xfId="0" applyFont="1" applyBorder="1"/>
    <xf numFmtId="0" fontId="0" fillId="0" borderId="27" xfId="0" applyBorder="1"/>
    <xf numFmtId="166" fontId="0" fillId="0" borderId="28" xfId="0" applyNumberFormat="1" applyBorder="1"/>
    <xf numFmtId="168" fontId="0" fillId="0" borderId="28" xfId="0" applyNumberFormat="1" applyBorder="1"/>
    <xf numFmtId="0" fontId="0" fillId="0" borderId="29" xfId="0" applyBorder="1"/>
    <xf numFmtId="2" fontId="0" fillId="0" borderId="0" xfId="0" applyNumberFormat="1" applyBorder="1"/>
    <xf numFmtId="0" fontId="36" fillId="0" borderId="0" xfId="0" applyFont="1" applyBorder="1"/>
    <xf numFmtId="0" fontId="0" fillId="0" borderId="30" xfId="0" applyBorder="1"/>
    <xf numFmtId="0" fontId="31" fillId="0" borderId="0" xfId="0" applyFont="1" applyBorder="1"/>
    <xf numFmtId="0" fontId="31" fillId="0" borderId="0" xfId="0" applyFont="1" applyBorder="1" applyAlignment="1">
      <alignment horizontal="center"/>
    </xf>
    <xf numFmtId="169" fontId="31" fillId="0" borderId="0" xfId="0" applyNumberFormat="1" applyFont="1" applyBorder="1" applyAlignment="1">
      <alignment horizontal="center"/>
    </xf>
    <xf numFmtId="0" fontId="0" fillId="9" borderId="31" xfId="0" applyFill="1" applyBorder="1" applyAlignment="1">
      <alignment wrapText="1"/>
    </xf>
    <xf numFmtId="0" fontId="0" fillId="10" borderId="31" xfId="0" applyFill="1" applyBorder="1" applyAlignment="1">
      <alignment wrapText="1"/>
    </xf>
    <xf numFmtId="2" fontId="0" fillId="9" borderId="32" xfId="0" applyNumberFormat="1" applyFill="1" applyBorder="1" applyAlignment="1">
      <alignment horizontal="center" wrapText="1"/>
    </xf>
    <xf numFmtId="2" fontId="0" fillId="9" borderId="33" xfId="0" applyNumberFormat="1" applyFill="1" applyBorder="1" applyAlignment="1">
      <alignment horizontal="center" wrapText="1"/>
    </xf>
    <xf numFmtId="2" fontId="0" fillId="10" borderId="32" xfId="0" applyNumberFormat="1" applyFill="1" applyBorder="1" applyAlignment="1">
      <alignment horizontal="center" wrapText="1"/>
    </xf>
    <xf numFmtId="2" fontId="0" fillId="10" borderId="33" xfId="0" applyNumberFormat="1" applyFill="1" applyBorder="1" applyAlignment="1">
      <alignment horizontal="center" wrapText="1"/>
    </xf>
    <xf numFmtId="2" fontId="31" fillId="0" borderId="0" xfId="0" applyNumberFormat="1" applyFont="1" applyBorder="1" applyAlignment="1">
      <alignment horizontal="center"/>
    </xf>
    <xf numFmtId="166" fontId="39" fillId="0" borderId="0" xfId="0" applyNumberFormat="1" applyFont="1" applyBorder="1" applyAlignment="1">
      <alignment horizontal="right"/>
    </xf>
    <xf numFmtId="166" fontId="41" fillId="0" borderId="0" xfId="0" applyNumberFormat="1" applyFont="1" applyBorder="1" applyAlignment="1">
      <alignment horizontal="right"/>
    </xf>
    <xf numFmtId="0" fontId="43" fillId="0" borderId="0" xfId="0" applyFont="1" applyBorder="1"/>
    <xf numFmtId="0" fontId="0" fillId="11" borderId="34" xfId="0" applyFill="1" applyBorder="1" applyAlignment="1">
      <alignment wrapText="1"/>
    </xf>
    <xf numFmtId="0" fontId="0" fillId="9" borderId="34" xfId="0" applyFill="1" applyBorder="1" applyAlignment="1">
      <alignment wrapText="1"/>
    </xf>
    <xf numFmtId="0" fontId="0" fillId="0" borderId="34" xfId="0" applyBorder="1"/>
    <xf numFmtId="0" fontId="0" fillId="0" borderId="36" xfId="0"/>
    <xf numFmtId="166" fontId="0" fillId="0" borderId="35" xfId="0" applyNumberFormat="1" applyBorder="1"/>
    <xf numFmtId="168" fontId="0" fillId="0" borderId="35" xfId="0" applyNumberFormat="1" applyBorder="1"/>
    <xf numFmtId="0" fontId="31" fillId="6" borderId="12" xfId="0" applyFont="1" applyFill="1" applyBorder="1" applyAlignment="1">
      <alignment wrapText="1"/>
    </xf>
    <xf numFmtId="0" fontId="31" fillId="6" borderId="13" xfId="0" applyFont="1" applyFill="1" applyBorder="1" applyAlignment="1">
      <alignment wrapText="1"/>
    </xf>
    <xf numFmtId="0" fontId="31" fillId="6" borderId="14" xfId="0" applyFont="1" applyFill="1" applyBorder="1" applyAlignment="1">
      <alignment wrapText="1"/>
    </xf>
    <xf numFmtId="2" fontId="4" fillId="3" borderId="36" xfId="0" applyNumberFormat="1" applyFont="1" applyFill="1" applyAlignment="1">
      <alignment horizontal="center" vertical="center" wrapText="1"/>
    </xf>
    <xf numFmtId="0" fontId="0" fillId="0" borderId="0" xfId="0" applyBorder="1"/>
    <xf numFmtId="170" fontId="17" fillId="0" borderId="36" xfId="0" applyNumberFormat="1" applyFont="1" applyAlignment="1">
      <alignment vertical="center"/>
    </xf>
    <xf numFmtId="2" fontId="33" fillId="6" borderId="36" xfId="0" applyNumberFormat="1" applyFont="1" applyFill="1" applyAlignment="1">
      <alignment horizontal="center" vertical="center" wrapText="1"/>
    </xf>
    <xf numFmtId="0" fontId="3" fillId="0" borderId="36" xfId="0" applyFont="1" applyAlignment="1">
      <alignment horizontal="center"/>
    </xf>
    <xf numFmtId="2" fontId="4" fillId="0" borderId="36" xfId="0" applyNumberFormat="1" applyFont="1" applyAlignment="1">
      <alignment horizontal="right"/>
    </xf>
    <xf numFmtId="2" fontId="4" fillId="4" borderId="36" xfId="0" applyNumberFormat="1" applyFont="1" applyFill="1" applyAlignment="1">
      <alignment horizontal="left" vertical="center" wrapText="1"/>
    </xf>
    <xf numFmtId="0" fontId="14" fillId="0" borderId="36" xfId="0" applyFont="1" applyAlignment="1">
      <alignment horizontal="center" vertical="center" wrapText="1"/>
    </xf>
    <xf numFmtId="0" fontId="7" fillId="0" borderId="36" xfId="0" applyFont="1" applyAlignment="1">
      <alignment vertical="center"/>
    </xf>
    <xf numFmtId="0" fontId="5" fillId="0" borderId="36" xfId="0" applyFont="1"/>
    <xf numFmtId="0" fontId="8" fillId="0" borderId="36" xfId="0" applyFont="1" applyAlignment="1">
      <alignment horizontal="left" vertical="center"/>
    </xf>
    <xf numFmtId="0" fontId="20" fillId="0" borderId="4" xfId="0" applyFont="1" applyBorder="1"/>
    <xf numFmtId="0" fontId="0" fillId="0" borderId="5" xfId="0" applyBorder="1"/>
    <xf numFmtId="0" fontId="21" fillId="0" borderId="3" xfId="0" applyFont="1" applyBorder="1" applyAlignment="1">
      <alignment horizontal="right" vertical="center" wrapText="1"/>
    </xf>
    <xf numFmtId="0" fontId="0" fillId="0" borderId="6" xfId="0" applyBorder="1"/>
    <xf numFmtId="0" fontId="30" fillId="5" borderId="36" xfId="0" applyFont="1" applyFill="1" applyAlignment="1">
      <alignment horizontal="center" vertical="center"/>
    </xf>
    <xf numFmtId="0" fontId="31" fillId="8" borderId="36" xfId="0" applyFont="1" applyFill="1" applyAlignment="1">
      <alignment horizontal="left" wrapText="1"/>
    </xf>
    <xf numFmtId="166" fontId="31" fillId="8" borderId="36" xfId="0" applyNumberFormat="1" applyFont="1" applyFill="1" applyAlignment="1">
      <alignment horizontal="left" wrapText="1"/>
    </xf>
    <xf numFmtId="0" fontId="31" fillId="6" borderId="36" xfId="0" applyFont="1" applyFill="1"/>
    <xf numFmtId="0" fontId="31" fillId="6" borderId="36" xfId="0" applyFont="1" applyFill="1" applyAlignment="1">
      <alignment wrapText="1"/>
    </xf>
    <xf numFmtId="0" fontId="0" fillId="5" borderId="36" xfId="0" applyFill="1"/>
    <xf numFmtId="0" fontId="0" fillId="9" borderId="36" xfId="0" applyFill="1" applyAlignment="1">
      <alignment wrapText="1"/>
    </xf>
    <xf numFmtId="0" fontId="0" fillId="0" borderId="36" xfId="0" applyAlignment="1">
      <alignment wrapText="1"/>
    </xf>
    <xf numFmtId="0" fontId="0" fillId="11" borderId="36" xfId="0" applyFill="1" applyAlignment="1">
      <alignment wrapText="1"/>
    </xf>
    <xf numFmtId="0" fontId="40" fillId="0" borderId="36" xfId="0" applyFont="1" applyAlignment="1">
      <alignment horizontal="center"/>
    </xf>
    <xf numFmtId="0" fontId="34" fillId="0" borderId="36" xfId="0" applyFont="1" applyAlignment="1">
      <alignment horizontal="center" vertical="center"/>
    </xf>
    <xf numFmtId="0" fontId="38" fillId="0" borderId="36" xfId="0" applyFont="1" applyAlignment="1">
      <alignment horizontal="center"/>
    </xf>
    <xf numFmtId="0" fontId="42" fillId="0" borderId="36" xfId="0" applyFont="1" applyAlignment="1">
      <alignment horizontal="center"/>
    </xf>
    <xf numFmtId="0" fontId="35" fillId="0" borderId="36" xfId="0" applyFont="1" applyAlignment="1">
      <alignment horizontal="center" vertical="center"/>
    </xf>
    <xf numFmtId="0" fontId="37" fillId="0" borderId="36" xfId="0" applyFont="1" applyAlignment="1">
      <alignment horizontal="center"/>
    </xf>
  </cellXfs>
  <cellStyles count="2">
    <cellStyle name="Hyperlink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Stats!$F$8</c:f>
              <c:strCache>
                <c:ptCount val="1"/>
                <c:pt idx="0">
                  <c:v>Sunday Apr 19, Apr Follow-Up</c:v>
                </c:pt>
              </c:strCache>
            </c:strRef>
          </c:tx>
          <c:spPr>
            <a:solidFill>
              <a:srgbClr val="3C78D8"/>
            </a:solidFill>
            <a:ln>
              <a:solidFill>
                <a:srgbClr val="000000"/>
              </a:solidFill>
              <a:prstDash val="solid"/>
            </a:ln>
          </c:spPr>
          <c:invertIfNegative val="1"/>
          <c:val>
            <c:numRef>
              <c:f>Stats!$G$8</c:f>
              <c:numCache>
                <c:formatCode>0.00</c:formatCode>
                <c:ptCount val="1"/>
                <c:pt idx="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4D0-4750-AD65-414FA08FB287}"/>
            </c:ext>
          </c:extLst>
        </c:ser>
        <c:ser>
          <c:idx val="1"/>
          <c:order val="1"/>
          <c:tx>
            <c:strRef>
              <c:f>Stats!$F$9</c:f>
              <c:strCache>
                <c:ptCount val="1"/>
                <c:pt idx="0">
                  <c:v>Generating HWER Complex Systems Modeling Scholar Fellowship (award)</c:v>
                </c:pt>
              </c:strCache>
            </c:strRef>
          </c:tx>
          <c:spPr>
            <a:solidFill>
              <a:srgbClr val="3D85C6"/>
            </a:solidFill>
            <a:ln>
              <a:solidFill>
                <a:srgbClr val="000000"/>
              </a:solidFill>
              <a:prstDash val="solid"/>
            </a:ln>
          </c:spPr>
          <c:invertIfNegative val="1"/>
          <c:val>
            <c:numRef>
              <c:f>Stats!$G$9</c:f>
              <c:numCache>
                <c:formatCode>0.00</c:formatCode>
                <c:ptCount val="1"/>
                <c:pt idx="0">
                  <c:v>1.5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4D0-4750-AD65-414FA08FB287}"/>
            </c:ext>
          </c:extLst>
        </c:ser>
        <c:ser>
          <c:idx val="2"/>
          <c:order val="2"/>
          <c:tx>
            <c:strRef>
              <c:f>Stats!$F$10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674EA7"/>
            </a:solidFill>
            <a:ln>
              <a:solidFill>
                <a:srgbClr val="000000"/>
              </a:solidFill>
              <a:prstDash val="solid"/>
            </a:ln>
          </c:spPr>
          <c:invertIfNegative val="1"/>
          <c:val>
            <c:numRef>
              <c:f>Stats!$G$10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4D0-4750-AD65-414FA08FB287}"/>
            </c:ext>
          </c:extLst>
        </c:ser>
        <c:ser>
          <c:idx val="3"/>
          <c:order val="3"/>
          <c:tx>
            <c:strRef>
              <c:f>Stats!$F$11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A64D79"/>
            </a:solidFill>
            <a:ln>
              <a:solidFill>
                <a:srgbClr val="000000"/>
              </a:solidFill>
              <a:prstDash val="solid"/>
            </a:ln>
          </c:spPr>
          <c:invertIfNegative val="1"/>
          <c:val>
            <c:numRef>
              <c:f>Stats!$G$11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24D0-4750-AD65-414FA08FB287}"/>
            </c:ext>
          </c:extLst>
        </c:ser>
        <c:ser>
          <c:idx val="4"/>
          <c:order val="4"/>
          <c:tx>
            <c:strRef>
              <c:f>Stats!$F$12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Stats!$G$12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D0-4750-AD65-414FA08FB287}"/>
            </c:ext>
          </c:extLst>
        </c:ser>
        <c:ser>
          <c:idx val="5"/>
          <c:order val="5"/>
          <c:tx>
            <c:strRef>
              <c:f>Stats!$F$13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Stats!$G$13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5-24D0-4750-AD65-414FA08FB287}"/>
            </c:ext>
          </c:extLst>
        </c:ser>
        <c:ser>
          <c:idx val="6"/>
          <c:order val="6"/>
          <c:tx>
            <c:strRef>
              <c:f>Stats!$F$14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Stats!$G$14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6-24D0-4750-AD65-414FA08FB287}"/>
            </c:ext>
          </c:extLst>
        </c:ser>
        <c:ser>
          <c:idx val="7"/>
          <c:order val="7"/>
          <c:tx>
            <c:strRef>
              <c:f>Stats!$F$15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Stats!$G$15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7-24D0-4750-AD65-414FA08FB287}"/>
            </c:ext>
          </c:extLst>
        </c:ser>
        <c:ser>
          <c:idx val="8"/>
          <c:order val="8"/>
          <c:tx>
            <c:strRef>
              <c:f>Stats!$F$16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Stats!$G$16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8-24D0-4750-AD65-414FA08FB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650112"/>
        <c:axId val="48672768"/>
      </c:barChart>
      <c:catAx>
        <c:axId val="4865011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b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t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minorGridlines>
          <c:spPr>
            <a:ln>
              <a:solidFill>
                <a:srgbClr val="CCCCCC"/>
              </a:solidFill>
              <a:prstDash val="solid"/>
            </a:ln>
          </c:spPr>
        </c:minorGridlines>
        <c:numFmt formatCode="0.00" sourceLinked="1"/>
        <c:majorTickMark val="none"/>
        <c:minorTickMark val="none"/>
        <c:tickLblPos val="nextTo"/>
        <c:txPr>
          <a:bodyPr anchorCtr="1"/>
          <a:lstStyle/>
          <a:p>
            <a:pPr>
              <a:defRPr b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 b="0">
              <a:solidFill>
                <a:srgbClr val="000000"/>
              </a:solidFill>
              <a:latin typeface="Tahoma"/>
              <a:ea typeface="Tahoma"/>
              <a:cs typeface="Tahoma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3C78D8"/>
            </a:solidFill>
            <a:ln>
              <a:solidFill>
                <a:srgbClr val="000000"/>
              </a:solidFill>
              <a:prstDash val="solid"/>
            </a:ln>
          </c:spPr>
          <c:invertIfNegative val="1"/>
          <c:cat>
            <c:strRef>
              <c:f>Stats!$F$28:$F$33</c:f>
              <c:strCache>
                <c:ptCount val="5"/>
                <c:pt idx="0">
                  <c:v>Sat</c:v>
                </c:pt>
                <c:pt idx="1">
                  <c:v>Sun</c:v>
                </c:pt>
                <c:pt idx="2">
                  <c:v>Mon</c:v>
                </c:pt>
                <c:pt idx="3">
                  <c:v>Tue</c:v>
                </c:pt>
                <c:pt idx="4">
                  <c:v>Wed</c:v>
                </c:pt>
              </c:strCache>
            </c:strRef>
          </c:cat>
          <c:val>
            <c:numRef>
              <c:f>Stats!$G$28:$G$33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030-4D2D-9A96-C22247517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b="0">
                <a:solidFill>
                  <a:srgbClr val="000000"/>
                </a:solidFill>
                <a:latin typeface="Roboto"/>
                <a:ea typeface="Roboto"/>
                <a:cs typeface="Roboto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minorGridlines>
          <c:spPr>
            <a:ln>
              <a:solidFill>
                <a:srgbClr val="CCCCCC"/>
              </a:solidFill>
              <a:prstDash val="solid"/>
            </a:ln>
          </c:spPr>
        </c:minorGridlines>
        <c:numFmt formatCode="0.00" sourceLinked="1"/>
        <c:majorTickMark val="none"/>
        <c:minorTickMark val="none"/>
        <c:tickLblPos val="nextTo"/>
        <c:txPr>
          <a:bodyPr anchorCtr="1"/>
          <a:lstStyle/>
          <a:p>
            <a:pPr>
              <a:defRPr b="0">
                <a:solidFill>
                  <a:srgbClr val="000000"/>
                </a:solidFill>
                <a:latin typeface="Roboto"/>
                <a:ea typeface="Roboto"/>
                <a:cs typeface="Roboto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730250</xdr:colOff>
      <xdr:row>1</xdr:row>
      <xdr:rowOff>139700</xdr:rowOff>
    </xdr:from>
    <xdr:ext cx="495300" cy="533400"/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419100</xdr:colOff>
      <xdr:row>4</xdr:row>
      <xdr:rowOff>685800</xdr:rowOff>
    </xdr:from>
    <xdr:ext cx="4953000" cy="20764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19050</xdr:colOff>
      <xdr:row>26</xdr:row>
      <xdr:rowOff>238125</xdr:rowOff>
    </xdr:from>
    <xdr:ext cx="4962525" cy="21336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12:H16">
  <tableColumns count="7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showGridLines="0" tabSelected="1" topLeftCell="A17" workbookViewId="0">
      <selection activeCell="D36" sqref="D36"/>
    </sheetView>
  </sheetViews>
  <sheetFormatPr defaultColWidth="12.54296875" defaultRowHeight="12.5"/>
  <cols>
    <col min="1" max="1" width="6.1796875" customWidth="1"/>
    <col min="2" max="2" width="28" customWidth="1"/>
    <col min="3" max="5" width="16" customWidth="1"/>
    <col min="6" max="8" width="20" customWidth="1"/>
    <col min="9" max="9" width="17.453125" customWidth="1"/>
  </cols>
  <sheetData>
    <row r="1" spans="1:9" ht="6" customHeight="1">
      <c r="A1" s="1"/>
      <c r="B1" s="1"/>
      <c r="C1" s="2"/>
      <c r="D1" s="2"/>
      <c r="E1" s="1"/>
      <c r="F1" s="1"/>
      <c r="G1" s="1"/>
      <c r="H1" s="47"/>
      <c r="I1" s="48"/>
    </row>
    <row r="2" spans="1:9" ht="18" customHeight="1">
      <c r="A2" s="3"/>
      <c r="B2" s="160" t="str">
        <f>'Control Panel'!B7</f>
        <v>Abinay - BaoBunny Creatives</v>
      </c>
      <c r="C2" s="157"/>
      <c r="D2" s="157"/>
      <c r="E2" s="157"/>
      <c r="F2" s="157"/>
      <c r="G2" s="3"/>
      <c r="H2" s="49"/>
      <c r="I2" s="50"/>
    </row>
    <row r="3" spans="1:9" ht="19.5" customHeight="1">
      <c r="A3" s="4"/>
      <c r="B3" s="157"/>
      <c r="C3" s="157"/>
      <c r="D3" s="157"/>
      <c r="E3" s="157"/>
      <c r="F3" s="157"/>
      <c r="G3" s="4"/>
      <c r="H3" s="4"/>
      <c r="I3" s="51"/>
    </row>
    <row r="4" spans="1:9" ht="18" customHeight="1">
      <c r="A4" s="5"/>
      <c r="B4" s="5"/>
      <c r="C4" s="5"/>
      <c r="D4" s="5"/>
      <c r="E4" s="5"/>
      <c r="F4" s="5"/>
      <c r="G4" s="5"/>
      <c r="H4" s="5"/>
      <c r="I4" s="13"/>
    </row>
    <row r="5" spans="1:9" ht="43" customHeight="1">
      <c r="A5" s="52"/>
      <c r="B5" s="165" t="str">
        <f>YEAR('Control Panel'!B12)&amp;" "&amp;TEXT('Control Panel'!B12,"mmm")&amp;" Week "&amp;'Control Panel'!B13&amp;" Time Sheet"</f>
        <v>2026 Jun Week 3 Time Sheet</v>
      </c>
      <c r="C5" s="157"/>
      <c r="D5" s="157"/>
      <c r="E5" s="157"/>
      <c r="F5" s="157"/>
      <c r="G5" s="157"/>
      <c r="H5" s="157"/>
      <c r="I5" s="52"/>
    </row>
    <row r="6" spans="1:9" ht="17" customHeight="1">
      <c r="A6" s="52"/>
      <c r="B6" s="6"/>
      <c r="C6" s="6"/>
      <c r="D6" s="6"/>
      <c r="E6" s="6"/>
      <c r="F6" s="6"/>
      <c r="G6" s="6"/>
      <c r="H6" s="6"/>
      <c r="I6" s="6"/>
    </row>
    <row r="7" spans="1:9" ht="18" customHeight="1">
      <c r="A7" s="52"/>
      <c r="B7" s="164" t="s">
        <v>0</v>
      </c>
      <c r="C7" s="157"/>
      <c r="D7" s="157"/>
      <c r="E7" s="166" t="str">
        <f>"Week of "&amp;TEXT('Control Panel'!B12,"m/d/yyyy")&amp;" - "&amp;TEXT('Control Panel'!B12+4,"m/d/yyyy")</f>
        <v>Week of 6/13/2026 - 6/17/2026</v>
      </c>
      <c r="F7" s="157"/>
      <c r="G7" s="157"/>
      <c r="H7" s="46"/>
      <c r="I7" s="7"/>
    </row>
    <row r="8" spans="1:9" ht="13" customHeight="1">
      <c r="A8" s="5"/>
      <c r="B8" s="8"/>
      <c r="C8" s="8"/>
      <c r="D8" s="8"/>
      <c r="E8" s="8"/>
      <c r="F8" s="8"/>
      <c r="G8" s="8"/>
      <c r="H8" s="8"/>
      <c r="I8" s="5"/>
    </row>
    <row r="9" spans="1:9" ht="13" customHeight="1">
      <c r="A9" s="53"/>
      <c r="B9" s="54"/>
      <c r="C9" s="54"/>
      <c r="D9" s="54"/>
      <c r="E9" s="53"/>
      <c r="F9" s="54"/>
      <c r="G9" s="54"/>
      <c r="H9" s="54"/>
      <c r="I9" s="53"/>
    </row>
    <row r="10" spans="1:9" ht="19.5" customHeight="1">
      <c r="A10" s="55"/>
      <c r="B10" s="56"/>
      <c r="C10" s="57" t="str">
        <f>TEXT(C11, "DDD")</f>
        <v>Sat</v>
      </c>
      <c r="D10" s="57" t="str">
        <f>TEXT(D11, "DDD")</f>
        <v>Sun</v>
      </c>
      <c r="E10" s="57" t="str">
        <f>TEXT(E11, "DDD")</f>
        <v>Mon</v>
      </c>
      <c r="F10" s="57" t="str">
        <f>TEXT(F11, "DDD")</f>
        <v>Tue</v>
      </c>
      <c r="G10" s="57" t="str">
        <f>TEXT(G11, "DDD")</f>
        <v>Wed</v>
      </c>
      <c r="H10" s="9"/>
      <c r="I10" s="55"/>
    </row>
    <row r="11" spans="1:9" ht="24" customHeight="1">
      <c r="A11" s="10"/>
      <c r="B11" s="11"/>
      <c r="C11" s="96">
        <f>'Control Panel'!B12</f>
        <v>46186</v>
      </c>
      <c r="D11" s="96">
        <f>C11+1</f>
        <v>46187</v>
      </c>
      <c r="E11" s="96">
        <f>D11+1</f>
        <v>46188</v>
      </c>
      <c r="F11" s="96">
        <f>E11+1</f>
        <v>46189</v>
      </c>
      <c r="G11" s="96">
        <f>F11+1</f>
        <v>46190</v>
      </c>
      <c r="H11" s="12" t="s">
        <v>1</v>
      </c>
      <c r="I11" s="10"/>
    </row>
    <row r="12" spans="1:9" ht="27.5" customHeight="1">
      <c r="A12" s="13"/>
      <c r="B12" s="44" t="str">
        <f>'Control Panel'!A22</f>
        <v>Sunday Apr 19, Apr Follow-Up</v>
      </c>
      <c r="C12" s="58">
        <f>'Control Panel'!B22</f>
        <v>0</v>
      </c>
      <c r="D12" s="58">
        <f>'Control Panel'!C22</f>
        <v>0</v>
      </c>
      <c r="E12" s="58">
        <f>'Control Panel'!D22</f>
        <v>0</v>
      </c>
      <c r="F12" s="58">
        <f>'Control Panel'!E22</f>
        <v>0</v>
      </c>
      <c r="G12" s="60">
        <f>'Control Panel'!F22</f>
        <v>1</v>
      </c>
      <c r="H12" s="59">
        <f>SUM(C12:G12)</f>
        <v>1</v>
      </c>
      <c r="I12" s="13"/>
    </row>
    <row r="13" spans="1:9" ht="57" customHeight="1">
      <c r="A13" s="13"/>
      <c r="B13" s="44" t="str">
        <f>'Control Panel'!A23</f>
        <v>Generating HWER Complex Systems Modeling Scholar Fellowship (award)</v>
      </c>
      <c r="C13" s="45">
        <f>'Control Panel'!B23</f>
        <v>0</v>
      </c>
      <c r="D13" s="131">
        <f>'Control Panel'!C23</f>
        <v>0</v>
      </c>
      <c r="E13" s="45">
        <f>'Control Panel'!D23</f>
        <v>0</v>
      </c>
      <c r="F13" s="60">
        <f>'Control Panel'!E23</f>
        <v>1</v>
      </c>
      <c r="G13" s="60">
        <f>'Control Panel'!F23</f>
        <v>0.5</v>
      </c>
      <c r="H13" s="59">
        <f>SUM(C13:G13)</f>
        <v>1.5</v>
      </c>
      <c r="I13" s="13"/>
    </row>
    <row r="14" spans="1:9" ht="21" customHeight="1">
      <c r="A14" s="13"/>
      <c r="B14" s="14">
        <f>'Control Panel'!A24</f>
        <v>0</v>
      </c>
      <c r="C14" s="58">
        <f>'Control Panel'!B24</f>
        <v>0</v>
      </c>
      <c r="D14" s="58">
        <f>'Control Panel'!C24</f>
        <v>0</v>
      </c>
      <c r="E14" s="58">
        <f>'Control Panel'!D24</f>
        <v>0</v>
      </c>
      <c r="F14" s="58">
        <f>'Control Panel'!E24</f>
        <v>0</v>
      </c>
      <c r="G14" s="58">
        <f>'Control Panel'!F24</f>
        <v>0</v>
      </c>
      <c r="H14" s="59">
        <f>SUM(C14:G14)</f>
        <v>0</v>
      </c>
      <c r="I14" s="13"/>
    </row>
    <row r="15" spans="1:9" ht="21" customHeight="1">
      <c r="A15" s="13"/>
      <c r="B15" s="14">
        <f>'Control Panel'!A25</f>
        <v>0</v>
      </c>
      <c r="C15" s="58">
        <f>'Control Panel'!B25</f>
        <v>0</v>
      </c>
      <c r="D15" s="58">
        <f>'Control Panel'!C25</f>
        <v>0</v>
      </c>
      <c r="E15" s="58">
        <f>'Control Panel'!D25</f>
        <v>0</v>
      </c>
      <c r="F15" s="58">
        <f>'Control Panel'!E25</f>
        <v>0</v>
      </c>
      <c r="G15" s="58">
        <f>'Control Panel'!F25</f>
        <v>0</v>
      </c>
      <c r="H15" s="59">
        <f>SUM(C15:G15)</f>
        <v>0</v>
      </c>
      <c r="I15" s="13"/>
    </row>
    <row r="16" spans="1:9" ht="21.75" hidden="1" customHeight="1">
      <c r="A16" s="52"/>
      <c r="B16" s="52">
        <f>'Control Panel'!A26</f>
        <v>0</v>
      </c>
      <c r="C16" s="60">
        <f>'Control Panel'!B26</f>
        <v>0</v>
      </c>
      <c r="D16" s="60">
        <f>'Control Panel'!C26</f>
        <v>0</v>
      </c>
      <c r="E16" s="60">
        <f>'Control Panel'!D26</f>
        <v>0</v>
      </c>
      <c r="F16" s="60">
        <f>'Control Panel'!E26</f>
        <v>0</v>
      </c>
      <c r="G16" s="60">
        <f>'Control Panel'!F26</f>
        <v>0</v>
      </c>
      <c r="H16" s="60">
        <f>SUM(C16:G16)</f>
        <v>0</v>
      </c>
      <c r="I16" s="52"/>
    </row>
    <row r="17" spans="1:9" ht="21" customHeight="1">
      <c r="A17" s="61"/>
      <c r="B17" s="15" t="s">
        <v>2</v>
      </c>
      <c r="C17" s="62">
        <f t="shared" ref="C17:H17" si="0">SUM(C12:C16)</f>
        <v>0</v>
      </c>
      <c r="D17" s="62">
        <f t="shared" si="0"/>
        <v>0</v>
      </c>
      <c r="E17" s="62">
        <f t="shared" si="0"/>
        <v>0</v>
      </c>
      <c r="F17" s="62">
        <f t="shared" si="0"/>
        <v>1</v>
      </c>
      <c r="G17" s="62">
        <f t="shared" si="0"/>
        <v>1.5</v>
      </c>
      <c r="H17" s="16">
        <f t="shared" si="0"/>
        <v>2.5</v>
      </c>
      <c r="I17" s="61"/>
    </row>
    <row r="18" spans="1:9" ht="21" customHeight="1">
      <c r="A18" s="61"/>
      <c r="B18" s="3"/>
      <c r="C18" s="61"/>
      <c r="D18" s="61"/>
      <c r="E18" s="61"/>
      <c r="F18" s="161" t="s">
        <v>3</v>
      </c>
      <c r="G18" s="157"/>
      <c r="H18" s="97">
        <f>'Control Panel'!B14</f>
        <v>200</v>
      </c>
      <c r="I18" s="61"/>
    </row>
    <row r="19" spans="1:9" ht="30" customHeight="1">
      <c r="A19" s="17"/>
      <c r="B19" s="18"/>
      <c r="C19" s="17"/>
      <c r="D19" s="17"/>
      <c r="E19" s="67" t="s">
        <v>4</v>
      </c>
      <c r="F19" s="158">
        <f>H17*H18</f>
        <v>500</v>
      </c>
      <c r="G19" s="157"/>
      <c r="H19" s="157"/>
      <c r="I19" s="17"/>
    </row>
    <row r="20" spans="1:9" ht="84" customHeight="1">
      <c r="A20" s="52"/>
      <c r="B20" s="19"/>
      <c r="C20" s="52"/>
      <c r="D20" s="52"/>
      <c r="E20" s="163" t="str">
        <f>"(Current Total Balance: $"&amp;TEXT('Control Panel'!B15,"#,##0.00")&amp;" PRIOR + $"&amp;TEXT('Control Panel'!B17,"#,##0.00")&amp;" NEW = $"&amp;TEXT('Control Panel'!B18,"#,##0.00")&amp;")"</f>
        <v>(Current Total Balance: $540.00 PRIOR + $500.00 NEW = $1,040.00)</v>
      </c>
      <c r="F20" s="157"/>
      <c r="G20" s="157"/>
      <c r="H20" s="157"/>
      <c r="I20" s="52"/>
    </row>
    <row r="21" spans="1:9" ht="19.5" customHeight="1">
      <c r="A21" s="52"/>
      <c r="B21" s="19" t="s">
        <v>5</v>
      </c>
      <c r="C21" s="52"/>
      <c r="D21" s="52"/>
      <c r="E21" s="52"/>
      <c r="F21" s="52"/>
      <c r="G21" s="52"/>
      <c r="H21" s="52"/>
      <c r="I21" s="52"/>
    </row>
    <row r="22" spans="1:9" ht="61" customHeight="1">
      <c r="A22" s="52"/>
      <c r="B22" s="99" t="s">
        <v>6</v>
      </c>
      <c r="C22" s="159" t="s">
        <v>7</v>
      </c>
      <c r="D22" s="157"/>
      <c r="E22" s="157"/>
      <c r="F22" s="157"/>
      <c r="G22" s="157"/>
      <c r="H22" s="157"/>
      <c r="I22" s="52"/>
    </row>
    <row r="23" spans="1:9" ht="26" customHeight="1">
      <c r="A23" s="52"/>
      <c r="B23" s="100" t="str">
        <f>'Control Panel'!A22</f>
        <v>Sunday Apr 19, Apr Follow-Up</v>
      </c>
      <c r="C23" s="162" t="str">
        <f>'Control Panel'!H22</f>
        <v>Follow-up progress, re-definie the strategy for NIW, Future Career, Recent Priorities, and EB1A</v>
      </c>
      <c r="D23" s="157"/>
      <c r="E23" s="157"/>
      <c r="F23" s="157"/>
      <c r="G23" s="157"/>
      <c r="H23" s="157"/>
      <c r="I23" s="52"/>
    </row>
    <row r="24" spans="1:9" ht="19.5" customHeight="1">
      <c r="A24" s="52"/>
      <c r="B24" s="101" t="str">
        <f>'Control Panel'!A23</f>
        <v>Generating HWER Complex Systems Modeling Scholar Fellowship (award)</v>
      </c>
      <c r="C24" s="156" t="str">
        <f>'Control Panel'!H23</f>
        <v>The fellowship would support Jiaman's grants efforts, train her grants writing, and network</v>
      </c>
      <c r="D24" s="157"/>
      <c r="E24" s="157"/>
      <c r="F24" s="157"/>
      <c r="G24" s="157"/>
      <c r="H24" s="157"/>
      <c r="I24" s="52"/>
    </row>
    <row r="25" spans="1:9" ht="19.5" customHeight="1">
      <c r="A25" s="52"/>
      <c r="B25" s="102">
        <f>'Control Panel'!A24</f>
        <v>0</v>
      </c>
      <c r="C25" s="103">
        <f>'Control Panel'!H24</f>
        <v>0</v>
      </c>
      <c r="D25" s="103"/>
      <c r="E25" s="103"/>
      <c r="F25" s="103"/>
      <c r="G25" s="103"/>
      <c r="H25" s="104"/>
      <c r="I25" s="52"/>
    </row>
    <row r="26" spans="1:9" ht="13" customHeight="1">
      <c r="A26" s="52"/>
      <c r="B26" s="105">
        <f>'Control Panel'!A25</f>
        <v>0</v>
      </c>
      <c r="C26" s="106">
        <f>'Control Panel'!H25</f>
        <v>0</v>
      </c>
      <c r="D26" s="103"/>
      <c r="E26" s="107"/>
      <c r="F26" s="103"/>
      <c r="G26" s="103"/>
      <c r="H26" s="104"/>
      <c r="I26" s="52"/>
    </row>
    <row r="27" spans="1:9" ht="13" customHeight="1">
      <c r="A27" s="52"/>
      <c r="B27" s="108">
        <f>'Control Panel'!A26</f>
        <v>0</v>
      </c>
      <c r="C27" s="109">
        <f>'Control Panel'!H26</f>
        <v>0</v>
      </c>
      <c r="D27" s="110"/>
      <c r="E27" s="111"/>
      <c r="F27" s="110"/>
      <c r="G27" s="110"/>
      <c r="H27" s="112"/>
      <c r="I27" s="52"/>
    </row>
    <row r="28" spans="1:9" ht="13" customHeight="1">
      <c r="A28" s="52"/>
      <c r="B28" s="68"/>
      <c r="C28" s="69"/>
      <c r="D28" s="65"/>
      <c r="E28" s="66"/>
      <c r="F28" s="52"/>
      <c r="G28" s="52"/>
      <c r="H28" s="52"/>
      <c r="I28" s="52"/>
    </row>
    <row r="29" spans="1:9" ht="13" customHeight="1">
      <c r="A29" s="52"/>
      <c r="B29" s="113" t="s">
        <v>8</v>
      </c>
      <c r="C29" s="114" t="s">
        <v>9</v>
      </c>
      <c r="D29" s="115" t="s">
        <v>10</v>
      </c>
      <c r="E29" s="116" t="s">
        <v>11</v>
      </c>
      <c r="F29" s="52"/>
      <c r="G29" s="52"/>
      <c r="H29" s="52"/>
      <c r="I29" s="52"/>
    </row>
    <row r="30" spans="1:9" ht="13" customHeight="1">
      <c r="A30" s="52"/>
      <c r="B30" s="117"/>
      <c r="C30" s="118">
        <f>'Control Panel'!A32</f>
        <v>500</v>
      </c>
      <c r="D30" s="119" t="str">
        <f>'Control Panel'!B32</f>
        <v>Jan-26-2026</v>
      </c>
      <c r="E30" s="120">
        <f>'Control Panel'!C32</f>
        <v>0</v>
      </c>
      <c r="F30" s="52"/>
      <c r="G30" s="52"/>
      <c r="H30" s="52"/>
      <c r="I30" s="52"/>
    </row>
    <row r="31" spans="1:9" ht="13" customHeight="1">
      <c r="A31" s="52"/>
      <c r="B31" s="121"/>
      <c r="C31" s="122">
        <f>'Control Panel'!A33</f>
        <v>600</v>
      </c>
      <c r="D31" s="119" t="str">
        <f>'Control Panel'!B33</f>
        <v>Dec-10-2025</v>
      </c>
      <c r="E31" s="120">
        <f>'Control Panel'!C33</f>
        <v>0</v>
      </c>
      <c r="F31" s="52"/>
      <c r="G31" s="52"/>
      <c r="H31" s="52"/>
      <c r="I31" s="52"/>
    </row>
    <row r="32" spans="1:9" ht="19.5" customHeight="1">
      <c r="A32" s="52"/>
      <c r="B32" s="123"/>
      <c r="C32" s="118">
        <f>'Control Panel'!A34</f>
        <v>200</v>
      </c>
      <c r="D32" s="124" t="str">
        <f>'Control Panel'!B34</f>
        <v>Mar-03-2026</v>
      </c>
      <c r="E32" s="125">
        <f>'Control Panel'!C34</f>
        <v>0</v>
      </c>
      <c r="F32" s="52"/>
      <c r="G32" s="52"/>
      <c r="H32" s="52"/>
      <c r="I32" s="52"/>
    </row>
    <row r="33" spans="1:9" ht="19.5" customHeight="1">
      <c r="A33" s="52"/>
      <c r="B33" s="126"/>
      <c r="C33" s="118">
        <f>'Control Panel'!A35</f>
        <v>200</v>
      </c>
      <c r="D33" s="124" t="str">
        <f>'Control Panel'!B35</f>
        <v>Apr-01-2026</v>
      </c>
      <c r="E33" s="125">
        <f>'Control Panel'!C35</f>
        <v>0</v>
      </c>
      <c r="F33" s="52"/>
      <c r="G33" s="52"/>
      <c r="H33" s="52"/>
      <c r="I33" s="52"/>
    </row>
    <row r="34" spans="1:9">
      <c r="B34" s="127"/>
      <c r="C34" s="128">
        <f>'Control Panel'!A36</f>
        <v>0</v>
      </c>
      <c r="D34" s="129">
        <f>'Control Panel'!B36</f>
        <v>0</v>
      </c>
      <c r="E34" s="130">
        <f>'Control Panel'!C36</f>
        <v>0</v>
      </c>
    </row>
    <row r="36" spans="1:9">
      <c r="B36" t="str">
        <f>"$"&amp;TEXT('Control Panel'!B19,"#,##0.00")&amp;"/$"&amp;TEXT('Control Panel'!B16,"#,##0.00")&amp;" max"</f>
        <v>$1,500.00/$100,000.00 max</v>
      </c>
      <c r="C36" t="str">
        <f>'Control Panel'!B8</f>
        <v>will apply for NIW when estimated successful rate over 80%</v>
      </c>
    </row>
    <row r="37" spans="1:9">
      <c r="B37" s="70" t="str">
        <f>'Control Panel'!B9</f>
        <v>Date for Payment (every month 1st, $200 per mon, until balance is fully paid)</v>
      </c>
      <c r="C37" s="70"/>
      <c r="D37" s="70"/>
      <c r="E37" s="70"/>
      <c r="F37" s="70"/>
      <c r="G37" s="70"/>
      <c r="H37" s="70"/>
    </row>
  </sheetData>
  <mergeCells count="10">
    <mergeCell ref="C24:H24"/>
    <mergeCell ref="F19:H19"/>
    <mergeCell ref="C22:H22"/>
    <mergeCell ref="B2:F3"/>
    <mergeCell ref="F18:G18"/>
    <mergeCell ref="C23:H23"/>
    <mergeCell ref="E20:H20"/>
    <mergeCell ref="B7:D7"/>
    <mergeCell ref="B5:H5"/>
    <mergeCell ref="E7:G7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showGridLines="0" workbookViewId="0"/>
  </sheetViews>
  <sheetFormatPr defaultColWidth="12.54296875" defaultRowHeight="12.5"/>
  <cols>
    <col min="1" max="1" width="5.1796875" customWidth="1"/>
    <col min="4" max="4" width="40.453125" customWidth="1"/>
    <col min="5" max="5" width="3.1796875" customWidth="1"/>
    <col min="7" max="7" width="8.1796875" customWidth="1"/>
    <col min="8" max="8" width="5.1796875" customWidth="1"/>
  </cols>
  <sheetData>
    <row r="1" spans="1:8" ht="6" customHeight="1">
      <c r="A1" s="1"/>
      <c r="B1" s="1"/>
      <c r="C1" s="1"/>
      <c r="D1" s="1"/>
      <c r="E1" s="1"/>
      <c r="F1" s="47"/>
      <c r="G1" s="47"/>
      <c r="H1" s="1"/>
    </row>
    <row r="2" spans="1:8" ht="19.5" customHeight="1">
      <c r="A2" s="63"/>
      <c r="B2" s="63"/>
      <c r="C2" s="63"/>
      <c r="D2" s="63"/>
      <c r="E2" s="63"/>
      <c r="F2" s="64"/>
      <c r="G2" s="64"/>
      <c r="H2" s="63"/>
    </row>
    <row r="3" spans="1:8" ht="19.5" customHeight="1">
      <c r="A3" s="63"/>
      <c r="B3" s="167" t="s">
        <v>12</v>
      </c>
      <c r="C3" s="168"/>
      <c r="D3" s="169" t="s">
        <v>13</v>
      </c>
      <c r="E3" s="168"/>
      <c r="F3" s="168"/>
      <c r="G3" s="170"/>
      <c r="H3" s="63"/>
    </row>
    <row r="4" spans="1:8" ht="19.5" customHeight="1">
      <c r="A4" s="63"/>
      <c r="B4" s="20"/>
      <c r="C4" s="63"/>
      <c r="D4" s="63"/>
      <c r="E4" s="63"/>
      <c r="F4" s="64"/>
      <c r="G4" s="64"/>
      <c r="H4" s="63"/>
    </row>
    <row r="5" spans="1:8" ht="30.75" customHeight="1">
      <c r="A5" s="21"/>
      <c r="B5" s="22" t="s">
        <v>14</v>
      </c>
      <c r="C5" s="23"/>
      <c r="D5" s="23"/>
      <c r="E5" s="23"/>
      <c r="F5" s="23"/>
      <c r="G5" s="24"/>
      <c r="H5" s="63"/>
    </row>
    <row r="6" spans="1:8" ht="4.5" customHeight="1">
      <c r="A6" s="25"/>
      <c r="B6" s="26"/>
      <c r="C6" s="26"/>
      <c r="D6" s="26"/>
      <c r="E6" s="26"/>
      <c r="F6" s="27"/>
      <c r="G6" s="26"/>
      <c r="H6" s="28"/>
    </row>
    <row r="7" spans="1:8" ht="19.5" customHeight="1">
      <c r="A7" s="28"/>
      <c r="B7" s="28"/>
      <c r="C7" s="28"/>
      <c r="D7" s="28"/>
      <c r="E7" s="28"/>
      <c r="F7" s="29"/>
      <c r="G7" s="30"/>
      <c r="H7" s="28"/>
    </row>
    <row r="8" spans="1:8" ht="19.5" customHeight="1">
      <c r="A8" s="28"/>
      <c r="B8" s="28"/>
      <c r="C8" s="28"/>
      <c r="D8" s="28"/>
      <c r="E8" s="28"/>
      <c r="F8" s="29" t="str">
        <f t="array" ref="F8:F12">'Time sheet'!B12:B16</f>
        <v>Sunday Apr 19, Apr Follow-Up</v>
      </c>
      <c r="G8" s="31">
        <f t="array" ref="G8:G12">'Time sheet'!H12:H16</f>
        <v>1</v>
      </c>
      <c r="H8" s="28"/>
    </row>
    <row r="9" spans="1:8" ht="19.5" customHeight="1">
      <c r="A9" s="28"/>
      <c r="B9" s="28"/>
      <c r="C9" s="28"/>
      <c r="D9" s="28"/>
      <c r="E9" s="28"/>
      <c r="F9" s="29" t="str">
        <v>Generating HWER Complex Systems Modeling Scholar Fellowship (award)</v>
      </c>
      <c r="G9" s="31">
        <v>1.5</v>
      </c>
      <c r="H9" s="28"/>
    </row>
    <row r="10" spans="1:8" ht="19.5" customHeight="1">
      <c r="A10" s="28"/>
      <c r="B10" s="28"/>
      <c r="C10" s="28"/>
      <c r="D10" s="28"/>
      <c r="E10" s="28"/>
      <c r="F10" s="29">
        <v>0</v>
      </c>
      <c r="G10" s="31">
        <v>0</v>
      </c>
      <c r="H10" s="28"/>
    </row>
    <row r="11" spans="1:8" ht="19.5" customHeight="1">
      <c r="A11" s="28"/>
      <c r="B11" s="28"/>
      <c r="C11" s="32"/>
      <c r="D11" s="28"/>
      <c r="E11" s="28"/>
      <c r="F11" s="29">
        <v>0</v>
      </c>
      <c r="G11" s="31">
        <v>0</v>
      </c>
      <c r="H11" s="32"/>
    </row>
    <row r="12" spans="1:8" ht="19.5" customHeight="1">
      <c r="A12" s="28"/>
      <c r="B12" s="28"/>
      <c r="C12" s="28"/>
      <c r="D12" s="28"/>
      <c r="E12" s="28"/>
      <c r="F12" s="29">
        <v>0</v>
      </c>
      <c r="G12" s="31">
        <v>0</v>
      </c>
      <c r="H12" s="28"/>
    </row>
    <row r="13" spans="1:8" ht="19.5" customHeight="1">
      <c r="A13" s="28"/>
      <c r="B13" s="28"/>
      <c r="C13" s="33"/>
      <c r="D13" s="33"/>
      <c r="E13" s="28"/>
      <c r="F13" s="29"/>
      <c r="G13" s="34"/>
      <c r="H13" s="28"/>
    </row>
    <row r="14" spans="1:8" ht="19.5" customHeight="1">
      <c r="A14" s="28"/>
      <c r="B14" s="28"/>
      <c r="C14" s="28"/>
      <c r="D14" s="28"/>
      <c r="E14" s="28"/>
      <c r="F14" s="35"/>
      <c r="G14" s="30"/>
      <c r="H14" s="28"/>
    </row>
    <row r="15" spans="1:8" ht="19.5" customHeight="1">
      <c r="A15" s="36"/>
      <c r="B15" s="28"/>
      <c r="C15" s="28"/>
      <c r="D15" s="37"/>
      <c r="E15" s="37"/>
      <c r="F15" s="29"/>
      <c r="G15" s="34"/>
      <c r="H15" s="28"/>
    </row>
    <row r="16" spans="1:8" ht="19.5" customHeight="1">
      <c r="A16" s="28"/>
      <c r="B16" s="28"/>
      <c r="C16" s="28"/>
      <c r="D16" s="28"/>
      <c r="E16" s="28"/>
      <c r="F16" s="29"/>
      <c r="G16" s="34"/>
      <c r="H16" s="28"/>
    </row>
    <row r="17" spans="1:8" ht="19.5" customHeight="1">
      <c r="A17" s="28"/>
      <c r="B17" s="28"/>
      <c r="C17" s="28"/>
      <c r="D17" s="28"/>
      <c r="E17" s="28"/>
      <c r="F17" s="29"/>
      <c r="G17" s="34"/>
      <c r="H17" s="28"/>
    </row>
    <row r="18" spans="1:8" ht="1.5" customHeight="1">
      <c r="A18" s="28"/>
      <c r="B18" s="28"/>
      <c r="C18" s="28"/>
      <c r="D18" s="28"/>
      <c r="E18" s="28"/>
      <c r="F18" s="29"/>
      <c r="G18" s="34"/>
      <c r="H18" s="28"/>
    </row>
    <row r="19" spans="1:8" ht="1.5" customHeight="1">
      <c r="A19" s="28"/>
      <c r="B19" s="28"/>
      <c r="C19" s="28"/>
      <c r="D19" s="28"/>
      <c r="E19" s="28"/>
      <c r="F19" s="29"/>
      <c r="G19" s="34"/>
      <c r="H19" s="28"/>
    </row>
    <row r="20" spans="1:8" ht="1.5" customHeight="1">
      <c r="A20" s="28"/>
      <c r="B20" s="28"/>
      <c r="C20" s="28"/>
      <c r="D20" s="28"/>
      <c r="E20" s="28"/>
      <c r="F20" s="29"/>
      <c r="G20" s="34"/>
      <c r="H20" s="28"/>
    </row>
    <row r="21" spans="1:8" ht="1.5" customHeight="1">
      <c r="A21" s="28"/>
      <c r="B21" s="28"/>
      <c r="C21" s="28"/>
      <c r="D21" s="28"/>
      <c r="E21" s="28"/>
      <c r="F21" s="29"/>
      <c r="G21" s="34"/>
      <c r="H21" s="28"/>
    </row>
    <row r="22" spans="1:8" ht="1.5" customHeight="1">
      <c r="A22" s="28"/>
      <c r="B22" s="28"/>
      <c r="C22" s="28"/>
      <c r="D22" s="28"/>
      <c r="E22" s="28"/>
      <c r="F22" s="29"/>
      <c r="G22" s="34"/>
      <c r="H22" s="28"/>
    </row>
    <row r="23" spans="1:8" ht="1.5" customHeight="1">
      <c r="A23" s="28"/>
      <c r="B23" s="28"/>
      <c r="C23" s="28"/>
      <c r="D23" s="28"/>
      <c r="E23" s="28"/>
      <c r="F23" s="29"/>
      <c r="G23" s="34"/>
      <c r="H23" s="28"/>
    </row>
    <row r="24" spans="1:8" ht="1.5" customHeight="1">
      <c r="A24" s="28"/>
      <c r="B24" s="28"/>
      <c r="C24" s="28"/>
      <c r="D24" s="28"/>
      <c r="E24" s="28"/>
      <c r="F24" s="29"/>
      <c r="G24" s="34"/>
      <c r="H24" s="28"/>
    </row>
    <row r="25" spans="1:8" ht="30" customHeight="1">
      <c r="A25" s="21"/>
      <c r="B25" s="22" t="s">
        <v>15</v>
      </c>
      <c r="C25" s="23"/>
      <c r="D25" s="23"/>
      <c r="E25" s="23"/>
      <c r="F25" s="23"/>
      <c r="G25" s="24"/>
      <c r="H25" s="63"/>
    </row>
    <row r="26" spans="1:8" ht="4.5" customHeight="1">
      <c r="A26" s="28"/>
      <c r="B26" s="38"/>
      <c r="C26" s="38"/>
      <c r="D26" s="38"/>
      <c r="E26" s="38"/>
      <c r="F26" s="39"/>
      <c r="G26" s="39"/>
      <c r="H26" s="28"/>
    </row>
    <row r="27" spans="1:8" ht="19.5" customHeight="1">
      <c r="A27" s="28"/>
      <c r="B27" s="40"/>
      <c r="C27" s="41"/>
      <c r="D27" s="38"/>
      <c r="E27" s="38"/>
      <c r="F27" s="39"/>
      <c r="G27" s="39"/>
      <c r="H27" s="28"/>
    </row>
    <row r="28" spans="1:8" ht="19.5" customHeight="1">
      <c r="A28" s="28"/>
      <c r="B28" s="30"/>
      <c r="C28" s="30"/>
      <c r="D28" s="28"/>
      <c r="E28" s="28"/>
      <c r="F28" s="42" t="str">
        <f t="array" ref="F28:F32">TRANSPOSE('Time sheet'!$C$10:$G$10)</f>
        <v>Sat</v>
      </c>
      <c r="G28" s="43">
        <f t="array" ref="G28:G32">TRANSPOSE('Time sheet'!$C$17:$G$17)</f>
        <v>0</v>
      </c>
      <c r="H28" s="28"/>
    </row>
    <row r="29" spans="1:8" ht="19.5" customHeight="1">
      <c r="A29" s="28"/>
      <c r="B29" s="30"/>
      <c r="C29" s="30"/>
      <c r="D29" s="28"/>
      <c r="E29" s="28"/>
      <c r="F29" s="42" t="str">
        <v>Sun</v>
      </c>
      <c r="G29" s="43">
        <v>0</v>
      </c>
      <c r="H29" s="28"/>
    </row>
    <row r="30" spans="1:8" ht="19.5" customHeight="1">
      <c r="A30" s="28"/>
      <c r="B30" s="30"/>
      <c r="C30" s="30"/>
      <c r="D30" s="33"/>
      <c r="E30" s="28"/>
      <c r="F30" s="42" t="str">
        <v>Mon</v>
      </c>
      <c r="G30" s="43">
        <v>0</v>
      </c>
      <c r="H30" s="28"/>
    </row>
    <row r="31" spans="1:8" ht="19.5" customHeight="1">
      <c r="A31" s="28"/>
      <c r="B31" s="30"/>
      <c r="C31" s="30"/>
      <c r="D31" s="33"/>
      <c r="E31" s="28"/>
      <c r="F31" s="42" t="str">
        <v>Tue</v>
      </c>
      <c r="G31" s="43">
        <v>1</v>
      </c>
      <c r="H31" s="28"/>
    </row>
    <row r="32" spans="1:8" ht="19.5" customHeight="1">
      <c r="A32" s="28"/>
      <c r="B32" s="30"/>
      <c r="C32" s="30"/>
      <c r="D32" s="33"/>
      <c r="E32" s="28"/>
      <c r="F32" s="42" t="str">
        <v>Wed</v>
      </c>
      <c r="G32" s="43">
        <v>1.5</v>
      </c>
      <c r="H32" s="28"/>
    </row>
    <row r="33" spans="1:8" ht="19.5" customHeight="1">
      <c r="A33" s="28"/>
      <c r="B33" s="28"/>
      <c r="C33" s="28"/>
      <c r="D33" s="28"/>
      <c r="E33" s="28"/>
      <c r="F33" s="42"/>
      <c r="G33" s="43"/>
      <c r="H33" s="28"/>
    </row>
    <row r="34" spans="1:8" ht="19.5" customHeight="1">
      <c r="A34" s="28"/>
      <c r="B34" s="28"/>
      <c r="C34" s="28"/>
      <c r="D34" s="28"/>
      <c r="E34" s="28"/>
      <c r="F34" s="34"/>
      <c r="G34" s="34"/>
      <c r="H34" s="28"/>
    </row>
    <row r="35" spans="1:8" ht="19.5" customHeight="1">
      <c r="A35" s="28"/>
      <c r="B35" s="28"/>
      <c r="C35" s="28"/>
      <c r="D35" s="28"/>
      <c r="E35" s="28"/>
      <c r="F35" s="34"/>
      <c r="G35" s="34"/>
      <c r="H35" s="28"/>
    </row>
    <row r="36" spans="1:8" ht="19.5" customHeight="1">
      <c r="A36" s="28"/>
      <c r="B36" s="28"/>
      <c r="C36" s="28"/>
      <c r="D36" s="28"/>
      <c r="E36" s="28"/>
      <c r="F36" s="34"/>
      <c r="G36" s="34"/>
      <c r="H36" s="28"/>
    </row>
    <row r="37" spans="1:8" ht="19.5" customHeight="1">
      <c r="A37" s="28"/>
      <c r="B37" s="28"/>
      <c r="C37" s="28"/>
      <c r="D37" s="28"/>
      <c r="E37" s="28"/>
      <c r="F37" s="34"/>
      <c r="G37" s="34"/>
      <c r="H37" s="28"/>
    </row>
    <row r="38" spans="1:8" ht="19.5" customHeight="1">
      <c r="A38" s="28"/>
      <c r="B38" s="28"/>
      <c r="C38" s="28"/>
      <c r="D38" s="28"/>
      <c r="E38" s="28"/>
      <c r="F38" s="34"/>
      <c r="G38" s="34"/>
      <c r="H38" s="28"/>
    </row>
  </sheetData>
  <mergeCells count="2">
    <mergeCell ref="B3:C3"/>
    <mergeCell ref="D3:G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6"/>
  <sheetViews>
    <sheetView workbookViewId="0"/>
  </sheetViews>
  <sheetFormatPr defaultRowHeight="12.5"/>
  <cols>
    <col min="1" max="1" width="34" customWidth="1"/>
    <col min="2" max="5" width="10" customWidth="1"/>
    <col min="6" max="6" width="14" customWidth="1"/>
    <col min="7" max="8" width="24" customWidth="1"/>
  </cols>
  <sheetData>
    <row r="1" spans="1:8" ht="24" customHeight="1">
      <c r="A1" s="171" t="s">
        <v>16</v>
      </c>
      <c r="B1" s="157"/>
      <c r="C1" s="157"/>
      <c r="D1" s="157"/>
      <c r="E1" s="157"/>
      <c r="F1" s="157"/>
      <c r="G1" s="157"/>
      <c r="H1" s="157"/>
    </row>
    <row r="3" spans="1:8" ht="13" customHeight="1">
      <c r="A3" s="174" t="s">
        <v>17</v>
      </c>
      <c r="B3" s="157"/>
      <c r="C3" s="157"/>
      <c r="D3" s="157"/>
      <c r="F3" s="174" t="s">
        <v>18</v>
      </c>
      <c r="G3" s="157"/>
      <c r="H3" s="157"/>
    </row>
    <row r="4" spans="1:8" ht="75.5" customHeight="1">
      <c r="A4" s="75" t="s">
        <v>19</v>
      </c>
      <c r="B4" s="76" t="s">
        <v>20</v>
      </c>
      <c r="C4" s="70"/>
      <c r="D4" s="70" t="s">
        <v>21</v>
      </c>
      <c r="E4" s="70"/>
      <c r="F4" s="75" t="s">
        <v>22</v>
      </c>
      <c r="G4" s="172" t="str">
        <f>B7</f>
        <v>Abinay - BaoBunny Creatives</v>
      </c>
      <c r="H4" s="157"/>
    </row>
    <row r="5" spans="1:8" ht="50.5" customHeight="1">
      <c r="A5" s="75" t="s">
        <v>23</v>
      </c>
      <c r="B5" s="76"/>
      <c r="C5" s="70"/>
      <c r="D5" s="70" t="s">
        <v>24</v>
      </c>
      <c r="E5" s="70"/>
      <c r="F5" s="75" t="s">
        <v>25</v>
      </c>
      <c r="G5" s="172" t="str">
        <f>YEAR(B12)&amp;" "&amp;TEXT(B12,"mmm")&amp;" Week "&amp;B13&amp;" Time Sheet"</f>
        <v>2026 Jun Week 3 Time Sheet</v>
      </c>
      <c r="H5" s="157"/>
    </row>
    <row r="6" spans="1:8" ht="100.5" customHeight="1">
      <c r="A6" s="75" t="s">
        <v>26</v>
      </c>
      <c r="B6" s="76" t="s">
        <v>27</v>
      </c>
      <c r="C6" s="70"/>
      <c r="D6" s="70" t="s">
        <v>28</v>
      </c>
      <c r="E6" s="70"/>
      <c r="F6" s="75" t="s">
        <v>29</v>
      </c>
      <c r="G6" s="172" t="str">
        <f>"Week of "&amp;TEXT(B12,"m/d/yyyy")&amp;" - "&amp;TEXT(B12+4,"m/d/yyyy")</f>
        <v>Week of 6/13/2026 - 6/17/2026</v>
      </c>
      <c r="H6" s="157"/>
    </row>
    <row r="7" spans="1:8" ht="39" customHeight="1">
      <c r="A7" s="75" t="s">
        <v>30</v>
      </c>
      <c r="B7" s="77" t="str">
        <f>IF(B5&lt;&gt;"",B5,B4)&amp;IF(B6&lt;&gt;""," - "&amp;B6,IFERROR(" - "&amp;VLOOKUP(B4,Customers!$A$2:$B$100,2,FALSE),""))</f>
        <v>Abinay - BaoBunny Creatives</v>
      </c>
      <c r="C7" s="70"/>
      <c r="D7" s="70"/>
      <c r="E7" s="70"/>
      <c r="F7" s="70"/>
      <c r="G7" s="98"/>
      <c r="H7" s="98"/>
    </row>
    <row r="8" spans="1:8" ht="88" customHeight="1">
      <c r="A8" s="75" t="s">
        <v>31</v>
      </c>
      <c r="B8" s="76" t="s">
        <v>32</v>
      </c>
      <c r="C8" s="70"/>
      <c r="D8" s="70"/>
      <c r="E8" s="70"/>
      <c r="F8" s="75" t="s">
        <v>33</v>
      </c>
      <c r="G8" s="173">
        <f>SUM(G22:G26)</f>
        <v>2.5</v>
      </c>
      <c r="H8" s="157"/>
    </row>
    <row r="9" spans="1:8" ht="100.5" customHeight="1">
      <c r="A9" s="75" t="s">
        <v>34</v>
      </c>
      <c r="B9" s="76" t="s">
        <v>35</v>
      </c>
      <c r="C9" s="70"/>
      <c r="D9" s="70"/>
      <c r="E9" s="70"/>
      <c r="F9" s="75" t="s">
        <v>36</v>
      </c>
      <c r="G9" s="173">
        <f>B17</f>
        <v>500</v>
      </c>
      <c r="H9" s="157"/>
    </row>
    <row r="10" spans="1:8" ht="26" customHeight="1">
      <c r="A10" s="70"/>
      <c r="B10" s="70"/>
      <c r="C10" s="70"/>
      <c r="D10" s="70"/>
      <c r="E10" s="70"/>
      <c r="F10" s="75" t="s">
        <v>37</v>
      </c>
      <c r="G10" s="173">
        <f>B18</f>
        <v>1040</v>
      </c>
      <c r="H10" s="157"/>
    </row>
    <row r="11" spans="1:8" ht="13" customHeight="1">
      <c r="A11" s="175" t="s">
        <v>38</v>
      </c>
      <c r="B11" s="157"/>
      <c r="C11" s="157"/>
      <c r="D11" s="157"/>
      <c r="E11" s="70"/>
      <c r="F11" s="70"/>
      <c r="G11" s="70"/>
      <c r="H11" s="70"/>
    </row>
    <row r="12" spans="1:8" ht="13" customHeight="1">
      <c r="A12" s="75" t="s">
        <v>39</v>
      </c>
      <c r="B12" s="79">
        <v>46186</v>
      </c>
      <c r="C12" s="70"/>
      <c r="D12" s="70"/>
      <c r="E12" s="70"/>
      <c r="F12" s="70"/>
      <c r="G12" s="70"/>
      <c r="H12" s="70"/>
    </row>
    <row r="13" spans="1:8" ht="13" customHeight="1">
      <c r="A13" s="75" t="s">
        <v>40</v>
      </c>
      <c r="B13" s="76">
        <v>3</v>
      </c>
      <c r="C13" s="70"/>
      <c r="D13" s="70"/>
      <c r="E13" s="70"/>
      <c r="F13" s="70"/>
      <c r="G13" s="70"/>
      <c r="H13" s="70"/>
    </row>
    <row r="14" spans="1:8" ht="63" customHeight="1">
      <c r="A14" s="75" t="s">
        <v>41</v>
      </c>
      <c r="B14" s="80">
        <v>200</v>
      </c>
      <c r="C14" s="70"/>
      <c r="D14" s="70" t="s">
        <v>42</v>
      </c>
      <c r="E14" s="70"/>
      <c r="F14" s="70"/>
      <c r="G14" s="70"/>
      <c r="H14" s="70"/>
    </row>
    <row r="15" spans="1:8" ht="13" customHeight="1">
      <c r="A15" s="75" t="s">
        <v>43</v>
      </c>
      <c r="B15" s="80">
        <v>540</v>
      </c>
      <c r="C15" s="70"/>
      <c r="D15" s="70"/>
      <c r="E15" s="70"/>
      <c r="F15" s="70"/>
      <c r="G15" s="70"/>
      <c r="H15" s="70"/>
    </row>
    <row r="16" spans="1:8" ht="75.5" customHeight="1">
      <c r="A16" s="75" t="s">
        <v>44</v>
      </c>
      <c r="B16" s="80">
        <v>100000</v>
      </c>
      <c r="C16" s="70"/>
      <c r="D16" s="70" t="s">
        <v>45</v>
      </c>
      <c r="E16" s="70"/>
      <c r="F16" s="70"/>
      <c r="G16" s="70"/>
      <c r="H16" s="70"/>
    </row>
    <row r="17" spans="1:8" ht="13" customHeight="1">
      <c r="A17" s="75" t="s">
        <v>46</v>
      </c>
      <c r="B17" s="78">
        <f>SUM(G22:G26)*B14</f>
        <v>500</v>
      </c>
      <c r="C17" s="70"/>
      <c r="D17" s="70"/>
      <c r="E17" s="70"/>
      <c r="F17" s="70"/>
      <c r="G17" s="70"/>
      <c r="H17" s="70"/>
    </row>
    <row r="18" spans="1:8" ht="13" customHeight="1">
      <c r="A18" s="75" t="s">
        <v>47</v>
      </c>
      <c r="B18" s="78">
        <f>B15+B17</f>
        <v>1040</v>
      </c>
      <c r="C18" s="70"/>
      <c r="D18" s="70"/>
      <c r="E18" s="70"/>
      <c r="F18" s="70"/>
      <c r="G18" s="70"/>
      <c r="H18" s="70"/>
    </row>
    <row r="19" spans="1:8" ht="13" customHeight="1">
      <c r="A19" s="75" t="s">
        <v>48</v>
      </c>
      <c r="B19" s="78">
        <f>SUM(A32:A36)</f>
        <v>1500</v>
      </c>
      <c r="C19" s="70"/>
      <c r="D19" s="70"/>
      <c r="E19" s="70"/>
      <c r="F19" s="70"/>
      <c r="G19" s="70"/>
      <c r="H19" s="70"/>
    </row>
    <row r="21" spans="1:8" ht="13" customHeight="1">
      <c r="A21" s="153" t="s">
        <v>49</v>
      </c>
      <c r="B21" s="154" t="s">
        <v>50</v>
      </c>
      <c r="C21" s="154" t="s">
        <v>51</v>
      </c>
      <c r="D21" s="154" t="s">
        <v>52</v>
      </c>
      <c r="E21" s="154" t="s">
        <v>53</v>
      </c>
      <c r="F21" s="154" t="s">
        <v>54</v>
      </c>
      <c r="G21" s="154" t="s">
        <v>55</v>
      </c>
      <c r="H21" s="155" t="s">
        <v>7</v>
      </c>
    </row>
    <row r="22" spans="1:8" ht="34" customHeight="1">
      <c r="A22" s="84" t="s">
        <v>56</v>
      </c>
      <c r="B22" s="85">
        <v>0</v>
      </c>
      <c r="C22" s="85">
        <v>0</v>
      </c>
      <c r="D22" s="85">
        <v>0</v>
      </c>
      <c r="E22" s="85">
        <v>0</v>
      </c>
      <c r="F22" s="85">
        <v>1</v>
      </c>
      <c r="G22" s="85">
        <f>SUM(B22:F22)</f>
        <v>1</v>
      </c>
      <c r="H22" s="86" t="s">
        <v>57</v>
      </c>
    </row>
    <row r="23" spans="1:8" ht="34" customHeight="1">
      <c r="A23" s="84" t="s">
        <v>58</v>
      </c>
      <c r="B23" s="85">
        <v>0</v>
      </c>
      <c r="C23" s="85">
        <v>0</v>
      </c>
      <c r="D23" s="85">
        <v>0</v>
      </c>
      <c r="E23" s="85">
        <v>1</v>
      </c>
      <c r="F23" s="85">
        <v>0.5</v>
      </c>
      <c r="G23" s="85">
        <f>SUM(B23:F23)</f>
        <v>1.5</v>
      </c>
      <c r="H23" s="86" t="s">
        <v>59</v>
      </c>
    </row>
    <row r="24" spans="1:8" ht="34" customHeight="1">
      <c r="A24" s="84"/>
      <c r="B24" s="85">
        <v>0</v>
      </c>
      <c r="C24" s="85">
        <v>0</v>
      </c>
      <c r="D24" s="85">
        <v>0</v>
      </c>
      <c r="E24" s="85">
        <v>0</v>
      </c>
      <c r="F24" s="85">
        <v>0</v>
      </c>
      <c r="G24" s="85">
        <f>SUM(B24:F24)</f>
        <v>0</v>
      </c>
      <c r="H24" s="86"/>
    </row>
    <row r="25" spans="1:8" ht="34" customHeight="1">
      <c r="A25" s="84"/>
      <c r="B25" s="85">
        <v>0</v>
      </c>
      <c r="C25" s="85">
        <v>0</v>
      </c>
      <c r="D25" s="85">
        <v>0</v>
      </c>
      <c r="E25" s="85">
        <v>0</v>
      </c>
      <c r="F25" s="85">
        <v>0</v>
      </c>
      <c r="G25" s="85">
        <f>SUM(B25:F25)</f>
        <v>0</v>
      </c>
      <c r="H25" s="86"/>
    </row>
    <row r="26" spans="1:8" ht="34" customHeight="1">
      <c r="A26" s="87"/>
      <c r="B26" s="88">
        <v>0</v>
      </c>
      <c r="C26" s="88">
        <v>0</v>
      </c>
      <c r="D26" s="88">
        <v>0</v>
      </c>
      <c r="E26" s="88">
        <v>0</v>
      </c>
      <c r="F26" s="88">
        <v>0</v>
      </c>
      <c r="G26" s="88">
        <f>SUM(B26:F26)</f>
        <v>0</v>
      </c>
      <c r="H26" s="89"/>
    </row>
    <row r="30" spans="1:8" ht="13" customHeight="1">
      <c r="A30" s="174" t="s">
        <v>60</v>
      </c>
      <c r="B30" s="157"/>
      <c r="C30" s="157"/>
    </row>
    <row r="31" spans="1:8" ht="13" customHeight="1">
      <c r="A31" s="81" t="s">
        <v>9</v>
      </c>
      <c r="B31" s="82" t="s">
        <v>61</v>
      </c>
      <c r="C31" s="83" t="s">
        <v>11</v>
      </c>
    </row>
    <row r="32" spans="1:8">
      <c r="A32" s="90">
        <v>500</v>
      </c>
      <c r="B32" s="91" t="s">
        <v>62</v>
      </c>
      <c r="C32" s="92"/>
      <c r="D32" t="s">
        <v>63</v>
      </c>
    </row>
    <row r="33" spans="1:3">
      <c r="A33" s="90">
        <v>600</v>
      </c>
      <c r="B33" s="91" t="s">
        <v>64</v>
      </c>
      <c r="C33" s="92"/>
    </row>
    <row r="34" spans="1:3">
      <c r="A34" s="90">
        <v>200</v>
      </c>
      <c r="B34" s="91" t="s">
        <v>65</v>
      </c>
      <c r="C34" s="92"/>
    </row>
    <row r="35" spans="1:3">
      <c r="A35" s="90">
        <v>200</v>
      </c>
      <c r="B35" s="91" t="s">
        <v>66</v>
      </c>
      <c r="C35" s="92"/>
    </row>
    <row r="36" spans="1:3">
      <c r="A36" s="93"/>
      <c r="B36" s="94"/>
      <c r="C36" s="95"/>
    </row>
  </sheetData>
  <mergeCells count="11">
    <mergeCell ref="A30:C30"/>
    <mergeCell ref="G6:H6"/>
    <mergeCell ref="A11:D11"/>
    <mergeCell ref="G8:H8"/>
    <mergeCell ref="G9:H9"/>
    <mergeCell ref="A1:H1"/>
    <mergeCell ref="G4:H4"/>
    <mergeCell ref="G10:H10"/>
    <mergeCell ref="A3:D3"/>
    <mergeCell ref="G5:H5"/>
    <mergeCell ref="F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/>
  </sheetViews>
  <sheetFormatPr defaultRowHeight="12.5"/>
  <cols>
    <col min="1" max="1" width="18" customWidth="1"/>
    <col min="2" max="2" width="24" customWidth="1"/>
    <col min="3" max="4" width="18" customWidth="1"/>
    <col min="5" max="5" width="34" customWidth="1"/>
  </cols>
  <sheetData>
    <row r="1" spans="1:5" ht="26" customHeight="1">
      <c r="A1" s="71" t="s">
        <v>67</v>
      </c>
      <c r="B1" s="71" t="s">
        <v>68</v>
      </c>
      <c r="C1" s="71" t="s">
        <v>69</v>
      </c>
      <c r="D1" s="71" t="s">
        <v>70</v>
      </c>
      <c r="E1" s="71" t="s">
        <v>11</v>
      </c>
    </row>
    <row r="2" spans="1:5" ht="25" customHeight="1">
      <c r="A2" s="70" t="s">
        <v>71</v>
      </c>
      <c r="B2" s="70" t="s">
        <v>27</v>
      </c>
      <c r="C2" s="70">
        <v>200</v>
      </c>
      <c r="D2" s="70">
        <v>10000</v>
      </c>
      <c r="E2" s="70" t="s">
        <v>32</v>
      </c>
    </row>
    <row r="3" spans="1:5">
      <c r="A3" s="70"/>
      <c r="B3" s="70"/>
      <c r="C3" s="70"/>
      <c r="D3" s="70"/>
      <c r="E3" s="70"/>
    </row>
    <row r="4" spans="1:5" ht="50" customHeight="1">
      <c r="A4" s="70" t="s">
        <v>72</v>
      </c>
      <c r="B4" s="70" t="s">
        <v>73</v>
      </c>
      <c r="C4" s="70"/>
      <c r="D4" s="70"/>
      <c r="E4" s="70"/>
    </row>
    <row r="5" spans="1:5">
      <c r="A5" s="70"/>
      <c r="B5" s="70"/>
      <c r="C5" s="70"/>
      <c r="D5" s="70"/>
      <c r="E5" s="70"/>
    </row>
    <row r="6" spans="1:5">
      <c r="A6" s="70"/>
      <c r="B6" s="70"/>
      <c r="C6" s="70"/>
      <c r="D6" s="70"/>
      <c r="E6" s="70"/>
    </row>
    <row r="7" spans="1:5">
      <c r="A7" s="70"/>
      <c r="B7" s="70"/>
      <c r="C7" s="70"/>
      <c r="D7" s="70"/>
      <c r="E7" s="70"/>
    </row>
    <row r="8" spans="1:5">
      <c r="A8" s="70"/>
      <c r="B8" s="70"/>
      <c r="C8" s="70"/>
      <c r="D8" s="70"/>
      <c r="E8" s="70"/>
    </row>
    <row r="9" spans="1:5">
      <c r="A9" s="70"/>
      <c r="B9" s="70"/>
      <c r="C9" s="70"/>
      <c r="D9" s="70"/>
      <c r="E9" s="70"/>
    </row>
    <row r="10" spans="1:5">
      <c r="A10" s="70"/>
      <c r="B10" s="70"/>
      <c r="C10" s="70"/>
      <c r="D10" s="70"/>
      <c r="E10" s="70"/>
    </row>
    <row r="11" spans="1:5">
      <c r="A11" s="70"/>
      <c r="B11" s="70"/>
      <c r="C11" s="70"/>
      <c r="D11" s="70"/>
      <c r="E11" s="70"/>
    </row>
    <row r="12" spans="1:5">
      <c r="A12" s="70"/>
      <c r="B12" s="70"/>
      <c r="C12" s="70"/>
      <c r="D12" s="70"/>
      <c r="E12" s="70"/>
    </row>
    <row r="13" spans="1:5">
      <c r="A13" s="70"/>
      <c r="B13" s="70"/>
      <c r="C13" s="70"/>
      <c r="D13" s="70"/>
      <c r="E13" s="70"/>
    </row>
    <row r="14" spans="1:5">
      <c r="A14" s="70"/>
      <c r="B14" s="70"/>
      <c r="C14" s="70"/>
      <c r="D14" s="70"/>
      <c r="E14" s="70"/>
    </row>
    <row r="15" spans="1:5">
      <c r="A15" s="70"/>
      <c r="B15" s="70"/>
      <c r="C15" s="70"/>
      <c r="D15" s="70"/>
      <c r="E15" s="70"/>
    </row>
    <row r="16" spans="1:5">
      <c r="A16" s="70"/>
      <c r="B16" s="70"/>
      <c r="C16" s="70"/>
      <c r="D16" s="70"/>
      <c r="E16" s="70"/>
    </row>
    <row r="17" spans="1:5">
      <c r="A17" s="70"/>
      <c r="B17" s="70"/>
      <c r="C17" s="70"/>
      <c r="D17" s="70"/>
      <c r="E17" s="70"/>
    </row>
    <row r="18" spans="1:5">
      <c r="A18" s="70"/>
      <c r="B18" s="70"/>
      <c r="C18" s="70"/>
      <c r="D18" s="70"/>
      <c r="E18" s="70"/>
    </row>
    <row r="19" spans="1:5">
      <c r="A19" s="70"/>
      <c r="B19" s="70"/>
      <c r="C19" s="70"/>
      <c r="D19" s="70"/>
      <c r="E19" s="70"/>
    </row>
    <row r="20" spans="1:5">
      <c r="A20" s="70"/>
      <c r="B20" s="70"/>
      <c r="C20" s="70"/>
      <c r="D20" s="70"/>
      <c r="E20" s="70"/>
    </row>
    <row r="21" spans="1:5">
      <c r="A21" t="s">
        <v>20</v>
      </c>
      <c r="B21" t="s">
        <v>27</v>
      </c>
      <c r="C21">
        <v>200</v>
      </c>
      <c r="D21">
        <v>10000</v>
      </c>
      <c r="E21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9"/>
  <sheetViews>
    <sheetView workbookViewId="0"/>
  </sheetViews>
  <sheetFormatPr defaultRowHeight="12.5"/>
  <cols>
    <col min="1" max="1" width="4" customWidth="1"/>
    <col min="2" max="2" width="32" customWidth="1"/>
    <col min="3" max="7" width="12" customWidth="1"/>
    <col min="8" max="8" width="16" customWidth="1"/>
  </cols>
  <sheetData>
    <row r="1" spans="1:8" ht="8" customHeight="1">
      <c r="A1" s="176"/>
      <c r="B1" s="157"/>
      <c r="C1" s="157"/>
      <c r="D1" s="157"/>
      <c r="E1" s="157"/>
      <c r="F1" s="157"/>
      <c r="G1" s="157"/>
      <c r="H1" s="157"/>
    </row>
    <row r="2" spans="1:8">
      <c r="B2" s="181" t="str">
        <f>'Control Panel'!B7</f>
        <v>Abinay - BaoBunny Creatives</v>
      </c>
      <c r="C2" s="157"/>
      <c r="D2" s="157"/>
      <c r="E2" s="157"/>
      <c r="F2" s="157"/>
    </row>
    <row r="3" spans="1:8">
      <c r="B3" s="157"/>
      <c r="C3" s="157"/>
      <c r="D3" s="157"/>
      <c r="E3" s="157"/>
      <c r="F3" s="157"/>
    </row>
    <row r="5" spans="1:8" ht="32" customHeight="1">
      <c r="B5" s="184" t="str">
        <f>YEAR('Control Panel'!B12)&amp;" "&amp;TEXT('Control Panel'!B12,"mmm")&amp;" Week "&amp;'Control Panel'!B13&amp;" Time Sheet"</f>
        <v>2026 Jun Week 3 Time Sheet</v>
      </c>
      <c r="C5" s="157"/>
      <c r="D5" s="157"/>
      <c r="E5" s="157"/>
      <c r="F5" s="157"/>
      <c r="G5" s="157"/>
      <c r="H5" s="157"/>
    </row>
    <row r="7" spans="1:8" ht="15.5" customHeight="1">
      <c r="B7" s="132" t="s">
        <v>0</v>
      </c>
      <c r="E7" s="185" t="str">
        <f>"Week of "&amp;TEXT('Control Panel'!B12,"m/d/yyyy")&amp;" - "&amp;TEXT('Control Panel'!B12+4,"m/d/yyyy")</f>
        <v>Week of 6/13/2026 - 6/17/2026</v>
      </c>
      <c r="F7" s="157"/>
      <c r="G7" s="157"/>
    </row>
    <row r="8" spans="1:8">
      <c r="B8" s="133"/>
      <c r="C8" s="133"/>
      <c r="D8" s="133"/>
      <c r="E8" s="133"/>
      <c r="F8" s="133"/>
      <c r="G8" s="133"/>
      <c r="H8" s="133"/>
    </row>
    <row r="10" spans="1:8" ht="13" customHeight="1">
      <c r="B10" s="135"/>
      <c r="C10" s="135" t="s">
        <v>50</v>
      </c>
      <c r="D10" s="135" t="s">
        <v>51</v>
      </c>
      <c r="E10" s="135" t="s">
        <v>52</v>
      </c>
      <c r="F10" s="135" t="s">
        <v>53</v>
      </c>
      <c r="G10" s="135" t="s">
        <v>54</v>
      </c>
      <c r="H10" s="135" t="s">
        <v>1</v>
      </c>
    </row>
    <row r="11" spans="1:8" ht="13" customHeight="1">
      <c r="C11" s="136">
        <f>'Control Panel'!B12</f>
        <v>46186</v>
      </c>
      <c r="D11" s="136">
        <f>'Control Panel'!B12+1</f>
        <v>46187</v>
      </c>
      <c r="E11" s="136">
        <f>'Control Panel'!B12+2</f>
        <v>46188</v>
      </c>
      <c r="F11" s="136">
        <f>'Control Panel'!B12+3</f>
        <v>46189</v>
      </c>
      <c r="G11" s="136">
        <f>'Control Panel'!B12+4</f>
        <v>46190</v>
      </c>
    </row>
    <row r="12" spans="1:8" ht="28" customHeight="1">
      <c r="B12" s="137" t="str">
        <f>IF('Control Panel'!A22="","",'Control Panel'!A22)</f>
        <v>Sunday Apr 19, Apr Follow-Up</v>
      </c>
      <c r="C12" s="139">
        <f>IF($B12="","",'Control Panel'!B22)</f>
        <v>0</v>
      </c>
      <c r="D12" s="139">
        <f>IF($B12="","",'Control Panel'!C22)</f>
        <v>0</v>
      </c>
      <c r="E12" s="139">
        <f>IF($B12="","",'Control Panel'!D22)</f>
        <v>0</v>
      </c>
      <c r="F12" s="139">
        <f>IF($B12="","",'Control Panel'!E22)</f>
        <v>0</v>
      </c>
      <c r="G12" s="139">
        <f>IF($B12="","",'Control Panel'!F22)</f>
        <v>1</v>
      </c>
      <c r="H12" s="140">
        <f>IF($B12="","",SUM(C12:G12))</f>
        <v>1</v>
      </c>
    </row>
    <row r="13" spans="1:8" ht="28" customHeight="1">
      <c r="B13" s="138" t="str">
        <f>IF('Control Panel'!A23="","",'Control Panel'!A23)</f>
        <v>Generating HWER Complex Systems Modeling Scholar Fellowship (award)</v>
      </c>
      <c r="C13" s="141">
        <f>IF($B13="","",'Control Panel'!B23)</f>
        <v>0</v>
      </c>
      <c r="D13" s="141">
        <f>IF($B13="","",'Control Panel'!C23)</f>
        <v>0</v>
      </c>
      <c r="E13" s="141">
        <f>IF($B13="","",'Control Panel'!D23)</f>
        <v>0</v>
      </c>
      <c r="F13" s="141">
        <f>IF($B13="","",'Control Panel'!E23)</f>
        <v>1</v>
      </c>
      <c r="G13" s="141">
        <f>IF($B13="","",'Control Panel'!F23)</f>
        <v>0.5</v>
      </c>
      <c r="H13" s="142">
        <f>IF($B13="","",SUM(C13:G13))</f>
        <v>1.5</v>
      </c>
    </row>
    <row r="14" spans="1:8" ht="28" customHeight="1">
      <c r="B14" s="137" t="str">
        <f>IF('Control Panel'!A24="","",'Control Panel'!A24)</f>
        <v/>
      </c>
      <c r="C14" s="139" t="str">
        <f>IF($B14="","",'Control Panel'!B24)</f>
        <v/>
      </c>
      <c r="D14" s="139" t="str">
        <f>IF($B14="","",'Control Panel'!C24)</f>
        <v/>
      </c>
      <c r="E14" s="139" t="str">
        <f>IF($B14="","",'Control Panel'!D24)</f>
        <v/>
      </c>
      <c r="F14" s="139" t="str">
        <f>IF($B14="","",'Control Panel'!E24)</f>
        <v/>
      </c>
      <c r="G14" s="139" t="str">
        <f>IF($B14="","",'Control Panel'!F24)</f>
        <v/>
      </c>
      <c r="H14" s="140" t="str">
        <f>IF($B14="","",SUM(C14:G14))</f>
        <v/>
      </c>
    </row>
    <row r="15" spans="1:8" ht="28" customHeight="1">
      <c r="B15" s="138" t="str">
        <f>IF('Control Panel'!A25="","",'Control Panel'!A25)</f>
        <v/>
      </c>
      <c r="C15" s="141" t="str">
        <f>IF($B15="","",'Control Panel'!B25)</f>
        <v/>
      </c>
      <c r="D15" s="141" t="str">
        <f>IF($B15="","",'Control Panel'!C25)</f>
        <v/>
      </c>
      <c r="E15" s="141" t="str">
        <f>IF($B15="","",'Control Panel'!D25)</f>
        <v/>
      </c>
      <c r="F15" s="141" t="str">
        <f>IF($B15="","",'Control Panel'!E25)</f>
        <v/>
      </c>
      <c r="G15" s="141" t="str">
        <f>IF($B15="","",'Control Panel'!F25)</f>
        <v/>
      </c>
      <c r="H15" s="142" t="str">
        <f>IF($B15="","",SUM(C15:G15))</f>
        <v/>
      </c>
    </row>
    <row r="16" spans="1:8" ht="28" customHeight="1">
      <c r="B16" s="137" t="str">
        <f>IF('Control Panel'!A26="","",'Control Panel'!A26)</f>
        <v/>
      </c>
      <c r="C16" s="139" t="str">
        <f>IF($B16="","",'Control Panel'!B26)</f>
        <v/>
      </c>
      <c r="D16" s="139" t="str">
        <f>IF($B16="","",'Control Panel'!C26)</f>
        <v/>
      </c>
      <c r="E16" s="139" t="str">
        <f>IF($B16="","",'Control Panel'!D26)</f>
        <v/>
      </c>
      <c r="F16" s="139" t="str">
        <f>IF($B16="","",'Control Panel'!E26)</f>
        <v/>
      </c>
      <c r="G16" s="139" t="str">
        <f>IF($B16="","",'Control Panel'!F26)</f>
        <v/>
      </c>
      <c r="H16" s="140" t="str">
        <f>IF($B16="","",SUM(C16:G16))</f>
        <v/>
      </c>
    </row>
    <row r="17" spans="2:8" ht="13" customHeight="1">
      <c r="B17" s="134" t="s">
        <v>2</v>
      </c>
      <c r="C17" s="143">
        <f>SUM(C12:C16)</f>
        <v>0</v>
      </c>
      <c r="D17" s="143">
        <f>SUM(D12:D16)</f>
        <v>0</v>
      </c>
      <c r="E17" s="143">
        <f>SUM(E12:E16)</f>
        <v>0</v>
      </c>
      <c r="F17" s="143">
        <f>SUM(F12:F16)</f>
        <v>1</v>
      </c>
      <c r="G17" s="143">
        <f>SUM(G12:G16)</f>
        <v>1.5</v>
      </c>
      <c r="H17" s="143">
        <f>SUM(C17:G17)</f>
        <v>2.5</v>
      </c>
    </row>
    <row r="18" spans="2:8" ht="13" customHeight="1">
      <c r="F18" s="182" t="s">
        <v>3</v>
      </c>
      <c r="G18" s="157"/>
      <c r="H18" s="144">
        <f>'Control Panel'!B14</f>
        <v>200</v>
      </c>
    </row>
    <row r="19" spans="2:8" ht="25" customHeight="1">
      <c r="E19" s="180" t="s">
        <v>4</v>
      </c>
      <c r="F19" s="157"/>
      <c r="G19" s="157"/>
      <c r="H19" s="145">
        <f>'Control Panel'!B17</f>
        <v>500</v>
      </c>
    </row>
    <row r="20" spans="2:8" ht="28" customHeight="1">
      <c r="E20" s="183" t="str">
        <f>"(Current Total Balance: $"&amp;TEXT('Control Panel'!B15,"#,##0.00")&amp;" PRIOR + $"&amp;TEXT('Control Panel'!B17,"#,##0.00")&amp;" NEW = $"&amp;TEXT('Control Panel'!B18,"#,##0.00")&amp;")"</f>
        <v>(Current Total Balance: $540.00 PRIOR + $500.00 NEW = $1,040.00)</v>
      </c>
      <c r="F20" s="157"/>
      <c r="G20" s="157"/>
      <c r="H20" s="157"/>
    </row>
    <row r="22" spans="2:8" ht="13" customHeight="1">
      <c r="B22" s="146" t="s">
        <v>5</v>
      </c>
    </row>
    <row r="23" spans="2:8" ht="13" customHeight="1">
      <c r="B23" s="72" t="s">
        <v>6</v>
      </c>
      <c r="C23" s="72" t="s">
        <v>7</v>
      </c>
      <c r="D23" s="72"/>
      <c r="E23" s="72"/>
      <c r="F23" s="72"/>
      <c r="G23" s="72"/>
      <c r="H23" s="72"/>
    </row>
    <row r="24" spans="2:8" ht="24" customHeight="1">
      <c r="B24" s="147" t="str">
        <f>IF('Control Panel'!A22="","",'Control Panel'!A22)</f>
        <v>Sunday Apr 19, Apr Follow-Up</v>
      </c>
      <c r="C24" s="179" t="str">
        <f>IF('Control Panel'!A22="","",'Control Panel'!H22)</f>
        <v>Follow-up progress, re-definie the strategy for NIW, Future Career, Recent Priorities, and EB1A</v>
      </c>
      <c r="D24" s="157"/>
      <c r="E24" s="157"/>
      <c r="F24" s="157"/>
      <c r="G24" s="157"/>
      <c r="H24" s="157"/>
    </row>
    <row r="25" spans="2:8" ht="24" customHeight="1">
      <c r="B25" s="148" t="str">
        <f>IF('Control Panel'!A23="","",'Control Panel'!A23)</f>
        <v>Generating HWER Complex Systems Modeling Scholar Fellowship (award)</v>
      </c>
      <c r="C25" s="177" t="str">
        <f>IF('Control Panel'!A23="","",'Control Panel'!H23)</f>
        <v>The fellowship would support Jiaman's grants efforts, train her grants writing, and network</v>
      </c>
      <c r="D25" s="157"/>
      <c r="E25" s="157"/>
      <c r="F25" s="157"/>
      <c r="G25" s="157"/>
      <c r="H25" s="157"/>
    </row>
    <row r="26" spans="2:8" ht="24" customHeight="1">
      <c r="B26" s="147" t="str">
        <f>IF('Control Panel'!A24="","",'Control Panel'!A24)</f>
        <v/>
      </c>
      <c r="C26" s="179" t="str">
        <f>IF('Control Panel'!A24="","",'Control Panel'!H24)</f>
        <v/>
      </c>
      <c r="D26" s="157"/>
      <c r="E26" s="157"/>
      <c r="F26" s="157"/>
      <c r="G26" s="157"/>
      <c r="H26" s="157"/>
    </row>
    <row r="27" spans="2:8" ht="24" customHeight="1">
      <c r="B27" s="148" t="str">
        <f>IF('Control Panel'!A25="","",'Control Panel'!A25)</f>
        <v/>
      </c>
      <c r="C27" s="177" t="str">
        <f>IF('Control Panel'!A25="","",'Control Panel'!H25)</f>
        <v/>
      </c>
      <c r="D27" s="157"/>
      <c r="E27" s="157"/>
      <c r="F27" s="157"/>
      <c r="G27" s="157"/>
      <c r="H27" s="157"/>
    </row>
    <row r="28" spans="2:8" ht="24" customHeight="1">
      <c r="B28" s="147" t="str">
        <f>IF('Control Panel'!A26="","",'Control Panel'!A26)</f>
        <v/>
      </c>
      <c r="C28" s="179" t="str">
        <f>IF('Control Panel'!A26="","",'Control Panel'!H26)</f>
        <v/>
      </c>
      <c r="D28" s="157"/>
      <c r="E28" s="157"/>
      <c r="F28" s="157"/>
      <c r="G28" s="157"/>
      <c r="H28" s="157"/>
    </row>
    <row r="30" spans="2:8" ht="13" customHeight="1">
      <c r="B30" s="146" t="s">
        <v>8</v>
      </c>
      <c r="C30" s="72" t="s">
        <v>9</v>
      </c>
      <c r="D30" s="72" t="s">
        <v>10</v>
      </c>
      <c r="E30" s="72" t="s">
        <v>11</v>
      </c>
    </row>
    <row r="31" spans="2:8">
      <c r="B31" s="149"/>
      <c r="C31" s="151">
        <f>IF('Control Panel'!A32="","",'Control Panel'!A32)</f>
        <v>500</v>
      </c>
      <c r="D31" s="152" t="str">
        <f>IF('Control Panel'!A32="","",'Control Panel'!B32)</f>
        <v>Jan-26-2026</v>
      </c>
      <c r="E31" s="150">
        <f>IF('Control Panel'!A32="","",'Control Panel'!C32)</f>
        <v>0</v>
      </c>
    </row>
    <row r="32" spans="2:8">
      <c r="B32" s="149"/>
      <c r="C32" s="151">
        <f>IF('Control Panel'!A33="","",'Control Panel'!A33)</f>
        <v>600</v>
      </c>
      <c r="D32" s="152" t="str">
        <f>IF('Control Panel'!A33="","",'Control Panel'!B33)</f>
        <v>Dec-10-2025</v>
      </c>
      <c r="E32" s="150">
        <f>IF('Control Panel'!A33="","",'Control Panel'!C33)</f>
        <v>0</v>
      </c>
    </row>
    <row r="33" spans="2:8">
      <c r="B33" s="149"/>
      <c r="C33" s="151">
        <f>IF('Control Panel'!A34="","",'Control Panel'!A34)</f>
        <v>200</v>
      </c>
      <c r="D33" s="152" t="str">
        <f>IF('Control Panel'!A34="","",'Control Panel'!B34)</f>
        <v>Mar-03-2026</v>
      </c>
      <c r="E33" s="150">
        <f>IF('Control Panel'!A34="","",'Control Panel'!C34)</f>
        <v>0</v>
      </c>
    </row>
    <row r="34" spans="2:8">
      <c r="B34" s="149"/>
      <c r="C34" s="151">
        <f>IF('Control Panel'!A35="","",'Control Panel'!A35)</f>
        <v>200</v>
      </c>
      <c r="D34" s="152" t="str">
        <f>IF('Control Panel'!A35="","",'Control Panel'!B35)</f>
        <v>Apr-01-2026</v>
      </c>
      <c r="E34" s="150">
        <f>IF('Control Panel'!A35="","",'Control Panel'!C35)</f>
        <v>0</v>
      </c>
    </row>
    <row r="35" spans="2:8">
      <c r="B35" s="149"/>
      <c r="C35" s="151" t="str">
        <f>IF('Control Panel'!A36="","",'Control Panel'!A36)</f>
        <v/>
      </c>
      <c r="D35" s="152" t="str">
        <f>IF('Control Panel'!A36="","",'Control Panel'!B36)</f>
        <v/>
      </c>
      <c r="E35" s="150" t="str">
        <f>IF('Control Panel'!A36="","",'Control Panel'!C36)</f>
        <v/>
      </c>
    </row>
    <row r="37" spans="2:8" ht="13" customHeight="1">
      <c r="B37" s="73" t="s">
        <v>74</v>
      </c>
      <c r="C37" s="74">
        <f>'Control Panel'!B19</f>
        <v>1500</v>
      </c>
      <c r="D37" s="73"/>
      <c r="E37" s="74" t="s">
        <v>44</v>
      </c>
      <c r="F37" s="74">
        <f>'Control Panel'!B16</f>
        <v>100000</v>
      </c>
    </row>
    <row r="38" spans="2:8">
      <c r="B38" s="70" t="s">
        <v>75</v>
      </c>
      <c r="C38" s="178" t="str">
        <f>'Control Panel'!B8</f>
        <v>will apply for NIW when estimated successful rate over 80%</v>
      </c>
      <c r="D38" s="157"/>
      <c r="E38" s="157"/>
      <c r="F38" s="157"/>
      <c r="G38" s="157"/>
      <c r="H38" s="157"/>
    </row>
    <row r="39" spans="2:8">
      <c r="B39" s="70" t="s">
        <v>34</v>
      </c>
      <c r="C39" s="178" t="str">
        <f>'Control Panel'!B9</f>
        <v>Date for Payment (every month 1st, $200 per mon, until balance is fully paid)</v>
      </c>
      <c r="D39" s="157"/>
      <c r="E39" s="157"/>
      <c r="F39" s="157"/>
      <c r="G39" s="157"/>
      <c r="H39" s="157"/>
    </row>
  </sheetData>
  <mergeCells count="14">
    <mergeCell ref="C39:H39"/>
    <mergeCell ref="C26:H26"/>
    <mergeCell ref="B5:H5"/>
    <mergeCell ref="E7:G7"/>
    <mergeCell ref="A1:H1"/>
    <mergeCell ref="C25:H25"/>
    <mergeCell ref="C38:H38"/>
    <mergeCell ref="C24:H24"/>
    <mergeCell ref="E19:G19"/>
    <mergeCell ref="C28:H28"/>
    <mergeCell ref="C27:H27"/>
    <mergeCell ref="B2:F3"/>
    <mergeCell ref="F18:G18"/>
    <mergeCell ref="E20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Time sheet</vt:lpstr>
      <vt:lpstr>Stats</vt:lpstr>
      <vt:lpstr>Control Panel</vt:lpstr>
      <vt:lpstr>Customers</vt:lpstr>
      <vt:lpstr>Client Timesheet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Wang, Ning</cp:lastModifiedBy>
  <dcterms:created xsi:type="dcterms:W3CDTF">2026-04-15T21:09:39Z</dcterms:created>
  <dcterms:modified xsi:type="dcterms:W3CDTF">2026-04-15T23:02:29Z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